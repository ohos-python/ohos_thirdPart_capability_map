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7d280b1f874dc5" /></Relationships>
</file>

<file path=xl/workbook.xml><?xml version="1.0" encoding="utf-8"?>
<x:workbook xmlns:x="http://schemas.openxmlformats.org/spreadsheetml/2006/main">
  <x:sheets>
    <x:sheet xmlns:r="http://schemas.openxmlformats.org/officeDocument/2006/relationships" name="分类验证" sheetId="1" r:id="R1bdbcbb5dcf54c91"/>
    <x:sheet xmlns:r="http://schemas.openxmlformats.org/officeDocument/2006/relationships" name="本地项目" sheetId="2" r:id="R8b79dbc1654d4e3f"/>
    <x:sheet xmlns:r="http://schemas.openxmlformats.org/officeDocument/2006/relationships" name="GitHub样本" sheetId="3" r:id="Rffa3695e85fa476f"/>
    <x:sheet xmlns:r="http://schemas.openxmlformats.org/officeDocument/2006/relationships" name="参考体系" sheetId="4" r:id="R934adf39e5924657"/>
    <x:sheet xmlns:r="http://schemas.openxmlformats.org/officeDocument/2006/relationships" name="边界与整改" sheetId="5" r:id="R90d56a11b870405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
    <x:numFmt numFmtId="202" formatCode="yyyy-mm-dd hh:mm"/>
    <x:numFmt numFmtId="203" formatCode="yyyy-mm-dd"/>
  </x:numFmts>
  <x:fonts count="6">
    <x:font>
      <x:sz val="11"/>
      <x:name val="Carlito"/>
    </x:font>
    <x:font>
      <x:b/>
      <x:sz val="15"/>
      <x:color rgb="FF233851"/>
      <x:name val="Arial"/>
    </x:font>
    <x:font>
      <x:sz val="10"/>
      <x:color rgb="FF243449"/>
      <x:name val="Arial"/>
    </x:font>
    <x:font>
      <x:b/>
      <x:sz val="10"/>
      <x:color rgb="FFFFFFFF"/>
      <x:name val="Arial"/>
    </x:font>
    <x:font>
      <x:sz val="10"/>
      <x:color rgb="FF66758A"/>
      <x:name val="Arial"/>
    </x:font>
    <x:font>
      <x:sz val="10"/>
      <x:color rgb="FF596B82"/>
      <x:name val="Arial"/>
    </x:font>
  </x:fonts>
  <x:fills count="3">
    <x:fill>
      <x:patternFill patternType="none"/>
    </x:fill>
    <x:fill>
      <x:patternFill patternType="gray125"/>
    </x:fill>
    <x:fill>
      <x:patternFill patternType="solid">
        <x:fgColor rgb="FF294C73"/>
      </x:patternFill>
    </x:fill>
  </x:fills>
  <x:borders count="1">
    <x:border/>
  </x:borders>
  <x:cellStyleXfs count="1">
    <x:xf numFmtId="0" fontId="0" fillId="0" borderId="0"/>
  </x:cellStyleXfs>
  <x:cellXfs count="1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2" fillId="0" borderId="0" xfId="0" applyNumberFormat="1" applyFont="1" applyFill="1" applyBorder="1" applyAlignment="1">
      <x:alignment vertical="top" wrapText="1"/>
    </x:xf>
    <x:xf numFmtId="0" fontId="4" fillId="0" borderId="0" xfId="0" applyNumberFormat="1" applyFont="1" applyFill="1" applyBorder="1"/>
    <x:xf numFmtId="201" fontId="2" fillId="0" borderId="0" xfId="0" applyNumberFormat="1" applyFont="1" applyFill="1" applyBorder="1" applyAlignment="1">
      <x:alignment vertical="top" wrapText="1"/>
    </x:xf>
    <x:xf numFmtId="202"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x:xf>
    <x:xf numFmtId="0" fontId="2" fillId="0" borderId="0" xfId="0" applyNumberFormat="1" applyFont="1" applyFill="1" applyBorder="1" applyAlignment="1">
      <x:alignment wrapText="0"/>
    </x:xf>
    <x:xf numFmtId="200" fontId="2" fillId="0" borderId="0" xfId="0" applyNumberFormat="1" applyFont="1" applyFill="1" applyBorder="1" applyAlignment="1">
      <x:alignment horizontal="center"/>
    </x:xf>
    <x:xf numFmtId="0" fontId="5" fillId="0" borderId="0" xfId="0" applyNumberFormat="1" applyFont="1" applyFill="1" applyBorder="1"/>
    <x:xf numFmtId="203" fontId="2" fillId="0" borderId="0" xfId="0" applyNumberFormat="1" applyFont="1" applyFill="1" applyBorder="1" applyAlignment="1">
      <x:alignment vertical="top" wrapText="1"/>
    </x:xf>
    <x:xf numFmtId="0" fontId="2" fillId="0" borderId="0" xfId="0" applyNumberFormat="1" applyFont="1" applyFill="1" applyBorder="1" applyAlignment="1">
      <x:alignment wrapText="1"/>
    </x:xf>
  </x:cellXfs>
  <x:cellStyles count="1">
    <x:cellStyle name="Normal" xfId="0"/>
  </x:cellStyles>
  <x:dxfs count="3">
    <x:dxf>
      <x:font>
        <x:color rgb="FF8C4C0A"/>
      </x:font>
      <x:fill>
        <x:patternFill patternType="solid">
          <x:bgColor rgb="FFFFF1D6"/>
        </x:patternFill>
      </x:fill>
    </x:dxf>
    <x:dxf>
      <x:font>
        <x:color rgb="FF8C4C0A"/>
      </x:font>
      <x:fill>
        <x:patternFill patternType="solid">
          <x:bgColor rgb="FFFFF1D6"/>
        </x:patternFill>
      </x:fill>
    </x:dxf>
    <x:dxf>
      <x:font>
        <x:color rgb="FF8C4C0A"/>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f86de3ff2b486a" /><Relationship Type="http://schemas.openxmlformats.org/officeDocument/2006/relationships/theme" Target="/xl/theme/theme1.xml" Id="Rd90edae8fa064906" /><Relationship Type="http://schemas.openxmlformats.org/officeDocument/2006/relationships/sharedStrings" Target="/xl/sharedStrings.xml" Id="Rf74d94f2a7e74064" /><Relationship Type="http://schemas.openxmlformats.org/officeDocument/2006/relationships/worksheet" Target="/xl/worksheets/sheet1.xml" Id="R1bdbcbb5dcf54c91" /><Relationship Type="http://schemas.openxmlformats.org/officeDocument/2006/relationships/worksheet" Target="/xl/worksheets/sheet2.xml" Id="R8b79dbc1654d4e3f" /><Relationship Type="http://schemas.openxmlformats.org/officeDocument/2006/relationships/worksheet" Target="/xl/worksheets/sheet3.xml" Id="Rffa3695e85fa476f" /><Relationship Type="http://schemas.openxmlformats.org/officeDocument/2006/relationships/worksheet" Target="/xl/worksheets/sheet4.xml" Id="R934adf39e5924657" /><Relationship Type="http://schemas.openxmlformats.org/officeDocument/2006/relationships/worksheet" Target="/xl/worksheets/sheet5.xml" Id="R90d56a11b8704057" /></Relationships>
</file>

<file path=xl/tables/table1.xml><?xml version="1.0" encoding="utf-8"?>
<x:table xmlns:x="http://schemas.openxmlformats.org/spreadsheetml/2006/main" id="3" name="T0" displayName="T0" ref="A13:H28" headerRowCount="1" totalsRowCount="0" totalsRowShown="0">
  <x:autoFilter ref="A13:H28"/>
  <x:tableColumns count="8">
    <x:tableColumn id="1" name="编号"/>
    <x:tableColumn id="2" name="能力类别"/>
    <x:tableColumn id="3" name="本地可归类项目数"/>
    <x:tableColumn id="4" name="GitHub可归类样本数"/>
    <x:tableColumn id="5" name="本地占纳入分母比例"/>
    <x:tableColumn id="6" name="GitHub占纳入分母比例"/>
    <x:tableColumn id="7" name="边界判定"/>
    <x:tableColumn id="8" name="建议补充"/>
  </x:tableColumns>
  <x:tableStyleInfo name="TableStyleMedium2" showFirstColumn="0" showLastColumn="0" showRowStripes="1" showColumnStripes="0"/>
</x:table>
</file>

<file path=xl/tables/table2.xml><?xml version="1.0" encoding="utf-8"?>
<x:table xmlns:x="http://schemas.openxmlformats.org/spreadsheetml/2006/main" id="1" name="T1" displayName="T1" ref="A5:V606" headerRowCount="1" totalsRowCount="0" totalsRowShown="0">
  <x:autoFilter ref="A5:V606"/>
  <x:tableColumns count="22">
    <x:tableColumn id="1" name="源序号"/>
    <x:tableColumn id="2" name="项目名称"/>
    <x:tableColumn id="3" name="主类编号"/>
    <x:tableColumn id="4" name="建议主分类"/>
    <x:tableColumn id="5" name="证据状态"/>
    <x:tableColumn id="6" name="纳入去重分母(1/0)"/>
    <x:tableColumn id="7" name="对象类型"/>
    <x:tableColumn id="8" name="跨类/行业标签"/>
    <x:tableColumn id="9" name="原页面分类"/>
    <x:tableColumn id="10" name="原表语言"/>
    <x:tableColumn id="11" name="GitHub主语言原值"/>
    <x:tableColumn id="12" name="原框架"/>
    <x:tableColumn id="13" name="原依赖数"/>
    <x:tableColumn id="14" name="清洗后依赖数"/>
    <x:tableColumn id="15" name="目录匹配依赖数"/>
    <x:tableColumn id="16" name="原页面依赖满足度"/>
    <x:tableColumn id="17" name="重复于源序号"/>
    <x:tableColumn id="18" name="分类依据"/>
    <x:tableColumn id="19" name="来源"/>
    <x:tableColumn id="20" name="源Excel行号"/>
    <x:tableColumn id="21" name="原项目链接"/>
    <x:tableColumn id="22" name="规范化项目标识"/>
  </x:tableColumns>
  <x:tableStyleInfo name="TableStyleMedium2" showFirstColumn="0" showLastColumn="0" showRowStripes="1" showColumnStripes="0"/>
</x:table>
</file>

<file path=xl/tables/table3.xml><?xml version="1.0" encoding="utf-8"?>
<x:table xmlns:x="http://schemas.openxmlformats.org/spreadsheetml/2006/main" id="2" name="T2" displayName="T2" ref="A5:S170" headerRowCount="1" totalsRowCount="0" totalsRowShown="0">
  <x:autoFilter ref="A5:S170"/>
  <x:tableColumns count="19">
    <x:tableColumn id="1" name="仓库"/>
    <x:tableColumn id="2" name="Stars"/>
    <x:tableColumn id="3" name="主类编号"/>
    <x:tableColumn id="4" name="建议主分类"/>
    <x:tableColumn id="5" name="证据状态"/>
    <x:tableColumn id="6" name="纳入分母(1/0)"/>
    <x:tableColumn id="7" name="对象类型"/>
    <x:tableColumn id="8" name="跨类/行业标签"/>
    <x:tableColumn id="9" name="GitHub主语言原值"/>
    <x:tableColumn id="10" name="上游功能描述摘要"/>
    <x:tableColumn id="11" name="全局Top100样本(1/0)"/>
    <x:tableColumn id="12" name="查询组"/>
    <x:tableColumn id="13" name="本地源序号"/>
    <x:tableColumn id="14" name="许可原值/状态"/>
    <x:tableColumn id="15" name="采集时间(UTC)"/>
    <x:tableColumn id="16" name="取数方式"/>
    <x:tableColumn id="17" name="仓库链接"/>
    <x:tableColumn id="18" name="原始查询"/>
    <x:tableColumn id="19" name="取数来源链接"/>
  </x:tableColumns>
  <x:tableStyleInfo name="TableStyleMedium2" showFirstColumn="0" showLastColumn="0" showRowStripes="1" showColumnStripes="0"/>
</x:table>
</file>

<file path=xl/tables/table4.xml><?xml version="1.0" encoding="utf-8"?>
<x:table xmlns:x="http://schemas.openxmlformats.org/spreadsheetml/2006/main" id="4" name="T3" displayName="T3" ref="A5:F8" headerRowCount="1" totalsRowCount="0" totalsRowShown="0">
  <x:autoFilter ref="A5:F8"/>
  <x:tableColumns count="6">
    <x:tableColumn id="1" name="参考体系"/>
    <x:tableColumn id="2" name="原本用途"/>
    <x:tableColumn id="3" name="已核实的结构/主题"/>
    <x:tableColumn id="4" name="对本分类的适用范围"/>
    <x:tableColumn id="5" name="官方来源"/>
    <x:tableColumn id="6" name="核查日期"/>
  </x:tableColumns>
  <x:tableStyleInfo name="TableStyleMedium2" showFirstColumn="0" showLastColumn="0" showRowStripes="1" showColumnStripes="0"/>
</x:table>
</file>

<file path=xl/tables/table5.xml><?xml version="1.0" encoding="utf-8"?>
<x:table xmlns:x="http://schemas.openxmlformats.org/spreadsheetml/2006/main" id="5" name="T4" displayName="T4" ref="A5:E25" headerRowCount="1" totalsRowCount="0" totalsRowShown="0">
  <x:autoFilter ref="A5:E25"/>
  <x:tableColumns count="5">
    <x:tableColumn id="1" name="问题类型"/>
    <x:tableColumn id="2" name="对象/类别"/>
    <x:tableColumn id="3" name="发现"/>
    <x:tableColumn id="4" name="判定依据"/>
    <x:tableColumn id="5" name="建议动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db2afa8506433d" /></Relationships>
</file>

<file path=xl/worksheets/_rels/sheet2.xml.rels>&#65279;<?xml version="1.0" encoding="utf-8"?><Relationships xmlns="http://schemas.openxmlformats.org/package/2006/relationships"><Relationship Type="http://schemas.openxmlformats.org/officeDocument/2006/relationships/table" Target="/xl/tables/table2.xml" Id="R3c35cac1f1924c84" /></Relationships>
</file>

<file path=xl/worksheets/_rels/sheet3.xml.rels>&#65279;<?xml version="1.0" encoding="utf-8"?><Relationships xmlns="http://schemas.openxmlformats.org/package/2006/relationships"><Relationship Type="http://schemas.openxmlformats.org/officeDocument/2006/relationships/table" Target="/xl/tables/table3.xml" Id="Rd56e14050e3b4aac" /></Relationships>
</file>

<file path=xl/worksheets/_rels/sheet4.xml.rels>&#65279;<?xml version="1.0" encoding="utf-8"?><Relationships xmlns="http://schemas.openxmlformats.org/package/2006/relationships"><Relationship Type="http://schemas.openxmlformats.org/officeDocument/2006/relationships/table" Target="/xl/tables/table4.xml" Id="R4c29d938cf0e49bc" /></Relationships>
</file>

<file path=xl/worksheets/_rels/sheet5.xml.rels>&#65279;<?xml version="1.0" encoding="utf-8"?><Relationships xmlns="http://schemas.openxmlformats.org/package/2006/relationships"><Relationship Type="http://schemas.openxmlformats.org/officeDocument/2006/relationships/table" Target="/xl/tables/table5.xml" Id="R5c21bd63967a426c" /></Relationships>
</file>

<file path=xl/worksheets/sheet1.xml><?xml version="1.0" encoding="utf-8"?>
<x:worksheet xmlns:x="http://schemas.openxmlformats.org/spreadsheetml/2006/main">
  <x:sheetPr>
    <x:tabColor rgb="FF294C73"/>
  </x:sheetPr>
  <x:sheetViews>
    <x:sheetView showGridLines="0" workbookViewId="0"/>
  </x:sheetViews>
  <x:sheetFormatPr defaultRowHeight="15"/>
  <x:cols>
    <x:col min="1" max="1" width="8" hidden="0" customWidth="1"/>
    <x:col min="2" max="2" width="32" hidden="0" customWidth="1"/>
    <x:col min="3" max="3" width="17" hidden="0" customWidth="1"/>
    <x:col min="4" max="4" width="19" hidden="0" customWidth="1"/>
    <x:col min="5" max="5" width="19" hidden="0" customWidth="1"/>
    <x:col min="6" max="6" width="19" hidden="0" customWidth="1"/>
    <x:col min="7" max="7" width="54" hidden="0" customWidth="1"/>
    <x:col min="8" max="8" width="54" hidden="0" customWidth="1"/>
  </x:cols>
  <x:sheetData>
    <x:row r="2">
      <x:c r="A2" s="1" t="str">
        <x:v>鸿蒙三方库15类能力分类验证</x:v>
      </x:c>
    </x:row>
    <x:row r="4" ht="24" customHeight="1">
      <x:c r="A4" s="2"/>
      <x:c r="B4" s="2" t="str">
        <x:v>本地原始记录</x:v>
      </x:c>
      <x:c r="C4" s="13" t="n">
        <x:v>601</x:v>
      </x:c>
      <x:c r="D4" s="2" t="str">
        <x:v>分类结论</x:v>
      </x:c>
      <x:c r="E4" s="14" t="str">
        <x:v>有条件适用，尚非正式标准认证</x:v>
      </x:c>
      <x:c r="F4" s="14"/>
      <x:c r="G4" s="14"/>
      <x:c r="H4" s="14"/>
    </x:row>
    <x:row r="5" ht="24" customHeight="1">
      <x:c r="A5" s="2"/>
      <x:c r="B5" s="2" t="str">
        <x:v>规范化URL去重后</x:v>
      </x:c>
      <x:c r="C5" s="13" t="n">
        <x:v>583</x:v>
      </x:c>
      <x:c r="D5" s="2" t="str">
        <x:v>参考体系</x:v>
      </x:c>
      <x:c r="E5" s="14" t="str">
        <x:v>ACM CCS、SWEBOK、CNCF</x:v>
      </x:c>
      <x:c r="F5" s="14"/>
      <x:c r="G5" s="14"/>
      <x:c r="H5" s="14"/>
    </x:row>
    <x:row r="6" ht="24" customHeight="1">
      <x:c r="A6" s="2"/>
      <x:c r="B6" s="2" t="str">
        <x:v>本地纳入分类分母</x:v>
      </x:c>
      <x:c r="C6" s="13" t="n">
        <x:f>SUM('本地项目'!F6:F606)</x:f>
        <x:v>458</x:v>
      </x:c>
      <x:c r="D6" s="2" t="str">
        <x:v>仍需处理</x:v>
      </x:c>
      <x:c r="E6" s="14" t="str">
        <x:v>行业标签、对象类型、跨类边界</x:v>
      </x:c>
      <x:c r="F6" s="14"/>
      <x:c r="G6" s="14"/>
      <x:c r="H6" s="14"/>
    </x:row>
    <x:row r="7" ht="24" customHeight="1">
      <x:c r="A7" s="2"/>
      <x:c r="B7" s="2" t="str">
        <x:v>本地可归类比例</x:v>
      </x:c>
      <x:c r="C7" s="15" t="n">
        <x:f>SUM(C14:C28)/C6</x:f>
        <x:v>0.9279475982532751</x:v>
      </x:c>
      <x:c r="D7" s="2" t="str">
        <x:v>范围待决</x:v>
      </x:c>
      <x:c r="E7" s="14" t="str">
        <x:v>IoT/机器人/区块链等</x:v>
      </x:c>
      <x:c r="F7" s="14"/>
      <x:c r="G7" s="14"/>
      <x:c r="H7" s="14"/>
    </x:row>
    <x:row r="8" ht="24" customHeight="1">
      <x:c r="A8" s="2"/>
      <x:c r="B8" s="2" t="str">
        <x:v>GitHub样本总数</x:v>
      </x:c>
      <x:c r="C8" s="13" t="n">
        <x:v>165</x:v>
      </x:c>
      <x:c r="D8" s="2" t="str">
        <x:v>证据限制</x:v>
      </x:c>
      <x:c r="E8" s="14" t="str">
        <x:v>本地未逐一联网核验README</x:v>
      </x:c>
      <x:c r="F8" s="14"/>
      <x:c r="G8" s="14"/>
      <x:c r="H8" s="14"/>
    </x:row>
    <x:row r="9" ht="24" customHeight="1">
      <x:c r="A9" s="2"/>
      <x:c r="B9" s="2" t="str">
        <x:v>GitHub纳入分类分母</x:v>
      </x:c>
      <x:c r="C9" s="13" t="n">
        <x:f>SUM('GitHub样本'!F6:F170)</x:f>
        <x:v>113</x:v>
      </x:c>
      <x:c r="D9" s="2" t="str">
        <x:v>适配口径</x:v>
      </x:c>
      <x:c r="E9" s="14" t="str">
        <x:v>依赖目录匹配不等于端到端可用</x:v>
      </x:c>
      <x:c r="F9" s="14"/>
      <x:c r="G9" s="14"/>
      <x:c r="H9" s="14"/>
    </x:row>
    <x:row r="10" ht="24" customHeight="1">
      <x:c r="A10" s="2"/>
      <x:c r="B10" s="2" t="str">
        <x:v>GitHub可归类比例</x:v>
      </x:c>
      <x:c r="C10" s="15" t="n">
        <x:f>SUM(D14:D28)/C9</x:f>
        <x:v>0.9734513274336283</x:v>
      </x:c>
      <x:c r="D10" s="2" t="str">
        <x:v>率的定义</x:v>
      </x:c>
      <x:c r="E10" s="14" t="str">
        <x:v>可归类数 / 纳入分类分母</x:v>
      </x:c>
      <x:c r="F10" s="14"/>
      <x:c r="G10" s="14"/>
      <x:c r="H10" s="14"/>
    </x:row>
    <x:row r="13" ht="32" customHeight="1">
      <x:c r="A13" s="8" t="str">
        <x:v>编号</x:v>
      </x:c>
      <x:c r="B13" s="8" t="str">
        <x:v>能力类别</x:v>
      </x:c>
      <x:c r="C13" s="8" t="str">
        <x:v>本地可归类项目数</x:v>
      </x:c>
      <x:c r="D13" s="8" t="str">
        <x:v>GitHub可归类样本数</x:v>
      </x:c>
      <x:c r="E13" s="8" t="str">
        <x:v>本地占纳入分母比例</x:v>
      </x:c>
      <x:c r="F13" s="8" t="str">
        <x:v>GitHub占纳入分母比例</x:v>
      </x:c>
      <x:c r="G13" s="8" t="str">
        <x:v>边界判定</x:v>
      </x:c>
      <x:c r="H13" s="8" t="str">
        <x:v>建议补充</x:v>
      </x:c>
    </x:row>
    <x:row r="14" ht="44" customHeight="1">
      <x:c r="A14" s="4" t="n">
        <x:v>1</x:v>
      </x:c>
      <x:c r="B14" s="4" t="str">
        <x:v>基础编程与通用工具</x:v>
      </x:c>
      <x:c r="C14" s="11" t="n">
        <x:f>COUNTIFS('本地项目'!$C$6:$C$606,$A14,'本地项目'!$F$6:$F$606,1)</x:f>
        <x:v>7</x:v>
      </x:c>
      <x:c r="D14" s="11" t="n">
        <x:f>COUNTIFS('GitHub样本'!$C$6:$C$170,$A14,'GitHub样本'!$F$6:$F$170,1)</x:f>
        <x:v>2</x:v>
      </x:c>
      <x:c r="E14" s="9" t="n">
        <x:f>C14/$C$6</x:f>
        <x:v>0.015283842794759825</x:v>
      </x:c>
      <x:c r="F14" s="9" t="n">
        <x:f>D14/$C$9</x:f>
        <x:v>0.017699115044247787</x:v>
      </x:c>
      <x:c r="G14" s="4" t="str">
        <x:v>日志生成属本类；日志汇聚监控属15类</x:v>
      </x:c>
      <x:c r="H14" s="4" t="str">
        <x:v>补充统一包名、版本、许可和平台信息</x:v>
      </x:c>
    </x:row>
    <x:row r="15" ht="44" customHeight="1">
      <x:c r="A15" s="4" t="n">
        <x:v>2</x:v>
      </x:c>
      <x:c r="B15" s="4" t="str">
        <x:v>系统资源与原生互操作</x:v>
      </x:c>
      <x:c r="C15" s="11" t="n">
        <x:f>COUNTIFS('本地项目'!$C$6:$C$606,$A15,'本地项目'!$F$6:$F$606,1)</x:f>
        <x:v>20</x:v>
      </x:c>
      <x:c r="D15" s="11" t="n">
        <x:f>COUNTIFS('GitHub样本'!$C$6:$C$170,$A15,'GitHub样本'!$F$6:$F$170,1)</x:f>
        <x:v>7</x:v>
      </x:c>
      <x:c r="E15" s="9" t="n">
        <x:f>C15/$C$6</x:f>
        <x:v>0.043668122270742356</x:v>
      </x:c>
      <x:c r="F15" s="9" t="n">
        <x:f>D15/$C$9</x:f>
        <x:v>0.061946902654867256</x:v>
      </x:c>
      <x:c r="G15" s="4" t="str">
        <x:v>运行时是能力提供方类型，不应当作普通应用库</x:v>
      </x:c>
      <x:c r="H15" s="4" t="str">
        <x:v>补充驱动、嵌入式及设备访问标签</x:v>
      </x:c>
    </x:row>
    <x:row r="16" ht="44" customHeight="1">
      <x:c r="A16" s="4" t="n">
        <x:v>3</x:v>
      </x:c>
      <x:c r="B16" s="4" t="str">
        <x:v>网络与通信协议</x:v>
      </x:c>
      <x:c r="C16" s="11" t="n">
        <x:f>COUNTIFS('本地项目'!$C$6:$C$606,$A16,'本地项目'!$F$6:$F$606,1)</x:f>
        <x:v>18</x:v>
      </x:c>
      <x:c r="D16" s="11" t="n">
        <x:f>COUNTIFS('GitHub样本'!$C$6:$C$170,$A16,'GitHub样本'!$F$6:$F$170,1)</x:f>
        <x:v>4</x:v>
      </x:c>
      <x:c r="E16" s="9" t="n">
        <x:f>C16/$C$6</x:f>
        <x:v>0.039301310043668124</x:v>
      </x:c>
      <x:c r="F16" s="9" t="n">
        <x:f>D16/$C$9</x:f>
        <x:v>0.035398230088495575</x:v>
      </x:c>
      <x:c r="G16" s="4" t="str">
        <x:v>HTTP客户端归3；Web业务框架归6</x:v>
      </x:c>
      <x:c r="H16" s="4" t="str">
        <x:v>补充蓝牙、工业协议与实时通信标签</x:v>
      </x:c>
    </x:row>
    <x:row r="17" ht="44" customHeight="1">
      <x:c r="A17" s="4" t="n">
        <x:v>4</x:v>
      </x:c>
      <x:c r="B17" s="4" t="str">
        <x:v>安全与身份认证</x:v>
      </x:c>
      <x:c r="C17" s="11" t="n">
        <x:f>COUNTIFS('本地项目'!$C$6:$C$606,$A17,'本地项目'!$F$6:$F$606,1)</x:f>
        <x:v>14</x:v>
      </x:c>
      <x:c r="D17" s="11" t="n">
        <x:f>COUNTIFS('GitHub样本'!$C$6:$C$170,$A17,'GitHub样本'!$F$6:$F$170,1)</x:f>
        <x:v>2</x:v>
      </x:c>
      <x:c r="E17" s="9" t="n">
        <x:f>C17/$C$6</x:f>
        <x:v>0.03056768558951965</x:v>
      </x:c>
      <x:c r="F17" s="9" t="n">
        <x:f>D17/$C$9</x:f>
        <x:v>0.017699115044247787</x:v>
      </x:c>
      <x:c r="G17" s="4" t="str">
        <x:v>安全是主能力，也可作为所有类别的横向要求</x:v>
      </x:c>
      <x:c r="H17" s="4" t="str">
        <x:v>补充隐私、供应链安全、许可合规标签</x:v>
      </x:c>
    </x:row>
    <x:row r="18" ht="44" customHeight="1">
      <x:c r="A18" s="4" t="n">
        <x:v>5</x:v>
      </x:c>
      <x:c r="B18" s="4" t="str">
        <x:v>数据库、存储与检索</x:v>
      </x:c>
      <x:c r="C18" s="11" t="n">
        <x:f>COUNTIFS('本地项目'!$C$6:$C$606,$A18,'本地项目'!$F$6:$F$606,1)</x:f>
        <x:v>15</x:v>
      </x:c>
      <x:c r="D18" s="11" t="n">
        <x:f>COUNTIFS('GitHub样本'!$C$6:$C$170,$A18,'GitHub样本'!$F$6:$F$170,1)</x:f>
        <x:v>2</x:v>
      </x:c>
      <x:c r="E18" s="9" t="n">
        <x:f>C18/$C$6</x:f>
        <x:v>0.03275109170305677</x:v>
      </x:c>
      <x:c r="F18" s="9" t="n">
        <x:f>D18/$C$9</x:f>
        <x:v>0.017699115044247787</x:v>
      </x:c>
      <x:c r="G18" s="4" t="str">
        <x:v>数据库客户端界面仍归5；通用UI框架归7</x:v>
      </x:c>
      <x:c r="H18" s="4" t="str">
        <x:v>区分引擎、SDK和数据库服务</x:v>
      </x:c>
    </x:row>
    <x:row r="19" ht="44" customHeight="1">
      <x:c r="A19" s="4" t="n">
        <x:v>6</x:v>
      </x:c>
      <x:c r="B19" s="4" t="str">
        <x:v>后端服务与业务流程</x:v>
      </x:c>
      <x:c r="C19" s="11" t="n">
        <x:f>COUNTIFS('本地项目'!$C$6:$C$606,$A19,'本地项目'!$F$6:$F$606,1)</x:f>
        <x:v>50</x:v>
      </x:c>
      <x:c r="D19" s="11" t="n">
        <x:f>COUNTIFS('GitHub样本'!$C$6:$C$170,$A19,'GitHub样本'!$F$6:$F$170,1)</x:f>
        <x:v>10</x:v>
      </x:c>
      <x:c r="E19" s="9" t="n">
        <x:f>C19/$C$6</x:f>
        <x:v>0.1091703056768559</x:v>
      </x:c>
      <x:c r="F19" s="9" t="n">
        <x:f>D19/$C$9</x:f>
        <x:v>0.08849557522123894</x:v>
      </x:c>
      <x:c r="G19" s="4" t="str">
        <x:v>确定性任务编排归6；模型决策循环归13</x:v>
      </x:c>
      <x:c r="H19" s="4" t="str">
        <x:v>补充交易、消息、工作流及行业业务标签</x:v>
      </x:c>
    </x:row>
    <x:row r="20" ht="44" customHeight="1">
      <x:c r="A20" s="4" t="n">
        <x:v>7</x:v>
      </x:c>
      <x:c r="B20" s="4" t="str">
        <x:v>用户界面与交互</x:v>
      </x:c>
      <x:c r="C20" s="11" t="n">
        <x:f>COUNTIFS('本地项目'!$C$6:$C$606,$A20,'本地项目'!$F$6:$F$606,1)</x:f>
        <x:v>8</x:v>
      </x:c>
      <x:c r="D20" s="11" t="n">
        <x:f>COUNTIFS('GitHub样本'!$C$6:$C$170,$A20,'GitHub样本'!$F$6:$F$170,1)</x:f>
        <x:v>9</x:v>
      </x:c>
      <x:c r="E20" s="9" t="n">
        <x:f>C20/$C$6</x:f>
        <x:v>0.017467248908296942</x:v>
      </x:c>
      <x:c r="F20" s="9" t="n">
        <x:f>D20/$C$9</x:f>
        <x:v>0.07964601769911504</x:v>
      </x:c>
      <x:c r="G20" s="4" t="str">
        <x:v>仅使用Electron/Qt/TUI不代表主能力属于7</x:v>
      </x:c>
      <x:c r="H20" s="4" t="str">
        <x:v>把展现形态与功能类别拆开</x:v>
      </x:c>
    </x:row>
    <x:row r="21" ht="44" customHeight="1">
      <x:c r="A21" s="4" t="n">
        <x:v>8</x:v>
      </x:c>
      <x:c r="B21" s="4" t="str">
        <x:v>数据处理与科学计算</x:v>
      </x:c>
      <x:c r="C21" s="11" t="n">
        <x:f>COUNTIFS('本地项目'!$C$6:$C$606,$A21,'本地项目'!$F$6:$F$606,1)</x:f>
        <x:v>18</x:v>
      </x:c>
      <x:c r="D21" s="11" t="n">
        <x:f>COUNTIFS('GitHub样本'!$C$6:$C$170,$A21,'GitHub样本'!$F$6:$F$170,1)</x:f>
        <x:v>6</x:v>
      </x:c>
      <x:c r="E21" s="9" t="n">
        <x:f>C21/$C$6</x:f>
        <x:v>0.039301310043668124</x:v>
      </x:c>
      <x:c r="F21" s="9" t="n">
        <x:f>D21/$C$9</x:f>
        <x:v>0.05309734513274336</x:v>
      </x:c>
      <x:c r="G21" s="4" t="str">
        <x:v>模型训练归11；一般数据分析归8</x:v>
      </x:c>
      <x:c r="H21" s="4" t="str">
        <x:v>补充GIS、仿真、优化与领域数据标签</x:v>
      </x:c>
    </x:row>
    <x:row r="22" ht="44" customHeight="1">
      <x:c r="A22" s="4" t="n">
        <x:v>9</x:v>
      </x:c>
      <x:c r="B22" s="4" t="str">
        <x:v>图形、多媒体与实时应用</x:v>
      </x:c>
      <x:c r="C22" s="11" t="n">
        <x:f>COUNTIFS('本地项目'!$C$6:$C$606,$A22,'本地项目'!$F$6:$F$606,1)</x:f>
        <x:v>55</x:v>
      </x:c>
      <x:c r="D22" s="11" t="n">
        <x:f>COUNTIFS('GitHub样本'!$C$6:$C$170,$A22,'GitHub样本'!$F$6:$F$170,1)</x:f>
        <x:v>10</x:v>
      </x:c>
      <x:c r="E22" s="9" t="n">
        <x:f>C22/$C$6</x:f>
        <x:v>0.12008733624454149</x:v>
      </x:c>
      <x:c r="F22" s="9" t="n">
        <x:f>D22/$C$9</x:f>
        <x:v>0.08849557522123894</x:v>
      </x:c>
      <x:c r="G22" s="4" t="str">
        <x:v>模型驱动识别归11；媒体编解码与引擎归9</x:v>
      </x:c>
      <x:c r="H22" s="4" t="str">
        <x:v>补充CAD/CAE、游戏、实时和硬件加速标签</x:v>
      </x:c>
    </x:row>
    <x:row r="23" ht="44" customHeight="1">
      <x:c r="A23" s="4" t="n">
        <x:v>10</x:v>
      </x:c>
      <x:c r="B23" s="4" t="str">
        <x:v>文档与办公数据处理</x:v>
      </x:c>
      <x:c r="C23" s="11" t="n">
        <x:f>COUNTIFS('本地项目'!$C$6:$C$606,$A23,'本地项目'!$F$6:$F$606,1)</x:f>
        <x:v>32</x:v>
      </x:c>
      <x:c r="D23" s="11" t="n">
        <x:f>COUNTIFS('GitHub样本'!$C$6:$C$170,$A23,'GitHub样本'!$F$6:$F$170,1)</x:f>
        <x:v>5</x:v>
      </x:c>
      <x:c r="E23" s="9" t="n">
        <x:f>C23/$C$6</x:f>
        <x:v>0.06986899563318777</x:v>
      </x:c>
      <x:c r="F23" s="9" t="n">
        <x:f>D23/$C$9</x:f>
        <x:v>0.04424778761061947</x:v>
      </x:c>
      <x:c r="G23" s="4" t="str">
        <x:v>直接改文件归10；操控正在运行的应用归12</x:v>
      </x:c>
      <x:c r="H23" s="4" t="str">
        <x:v>补充复杂版式保真、公式重算与签章验证</x:v>
      </x:c>
    </x:row>
    <x:row r="24" ht="44" customHeight="1">
      <x:c r="A24" s="4" t="n">
        <x:v>11</x:v>
      </x:c>
      <x:c r="B24" s="4" t="str">
        <x:v>AI模型与机器学习</x:v>
      </x:c>
      <x:c r="C24" s="11" t="n">
        <x:f>COUNTIFS('本地项目'!$C$6:$C$606,$A24,'本地项目'!$F$6:$F$606,1)</x:f>
        <x:v>44</x:v>
      </x:c>
      <x:c r="D24" s="11" t="n">
        <x:f>COUNTIFS('GitHub样本'!$C$6:$C$170,$A24,'GitHub样本'!$F$6:$F$170,1)</x:f>
        <x:v>11</x:v>
      </x:c>
      <x:c r="E24" s="9" t="n">
        <x:f>C24/$C$6</x:f>
        <x:v>0.09606986899563319</x:v>
      </x:c>
      <x:c r="F24" s="9" t="n">
        <x:f>D24/$C$9</x:f>
        <x:v>0.09734513274336283</x:v>
      </x:c>
      <x:c r="G24" s="4" t="str">
        <x:v>模型能力归11；工具执行与任务规划归13</x:v>
      </x:c>
      <x:c r="H24" s="4" t="str">
        <x:v>分别标记模型、框架、服务SDK和推理引擎</x:v>
      </x:c>
    </x:row>
    <x:row r="25" ht="44" customHeight="1">
      <x:c r="A25" s="4" t="n">
        <x:v>12</x:v>
      </x:c>
      <x:c r="B25" s="4" t="str">
        <x:v>办公软件与桌面操作自动化</x:v>
      </x:c>
      <x:c r="C25" s="11" t="n">
        <x:f>COUNTIFS('本地项目'!$C$6:$C$606,$A25,'本地项目'!$F$6:$F$606,1)</x:f>
        <x:v>26</x:v>
      </x:c>
      <x:c r="D25" s="11" t="n">
        <x:f>COUNTIFS('GitHub样本'!$C$6:$C$170,$A25,'GitHub样本'!$F$6:$F$170,1)</x:f>
        <x:v>7</x:v>
      </x:c>
      <x:c r="E25" s="9" t="n">
        <x:f>C25/$C$6</x:f>
        <x:v>0.056768558951965066</x:v>
      </x:c>
      <x:c r="F25" s="9" t="n">
        <x:f>D25/$C$9</x:f>
        <x:v>0.061946902654867256</x:v>
      </x:c>
      <x:c r="G25" s="4" t="str">
        <x:v>浏览器执行器归12；测试主用途可归14并挂12标签</x:v>
      </x:c>
      <x:c r="H25" s="4" t="str">
        <x:v>补充可访问性、截图、输入、权限、人工确认接口</x:v>
      </x:c>
    </x:row>
    <x:row r="26" ht="44" customHeight="1">
      <x:c r="A26" s="4" t="n">
        <x:v>13</x:v>
      </x:c>
      <x:c r="B26" s="4" t="str">
        <x:v>Agent编排与工具执行</x:v>
      </x:c>
      <x:c r="C26" s="11" t="n">
        <x:f>COUNTIFS('本地项目'!$C$6:$C$606,$A26,'本地项目'!$F$6:$F$606,1)</x:f>
        <x:v>52</x:v>
      </x:c>
      <x:c r="D26" s="11" t="n">
        <x:f>COUNTIFS('GitHub样本'!$C$6:$C$170,$A26,'GitHub样本'!$F$6:$F$170,1)</x:f>
        <x:v>12</x:v>
      </x:c>
      <x:c r="E26" s="9" t="n">
        <x:f>C26/$C$6</x:f>
        <x:v>0.11353711790393013</x:v>
      </x:c>
      <x:c r="F26" s="9" t="n">
        <x:f>D26/$C$9</x:f>
        <x:v>0.10619469026548672</x:v>
      </x:c>
      <x:c r="G26" s="4" t="str">
        <x:v>技能文档不是Agent运行时；办公执行器归12</x:v>
      </x:c>
      <x:c r="H26" s="4" t="str">
        <x:v>区分可执行框架、Agent应用、技能资源和协议</x:v>
      </x:c>
    </x:row>
    <x:row r="27" ht="44" customHeight="1">
      <x:c r="A27" s="4" t="n">
        <x:v>14</x:v>
      </x:c>
      <x:c r="B27" s="4" t="str">
        <x:v>软件构建、开发与测试</x:v>
      </x:c>
      <x:c r="C27" s="11" t="n">
        <x:f>COUNTIFS('本地项目'!$C$6:$C$606,$A27,'本地项目'!$F$6:$F$606,1)</x:f>
        <x:v>53</x:v>
      </x:c>
      <x:c r="D27" s="11" t="n">
        <x:f>COUNTIFS('GitHub样本'!$C$6:$C$170,$A27,'GitHub样本'!$F$6:$F$170,1)</x:f>
        <x:v>15</x:v>
      </x:c>
      <x:c r="E27" s="9" t="n">
        <x:f>C27/$C$6</x:f>
        <x:v>0.11572052401746726</x:v>
      </x:c>
      <x:c r="F27" s="9" t="n">
        <x:f>D27/$C$9</x:f>
        <x:v>0.13274336283185842</x:v>
      </x:c>
      <x:c r="G27" s="4" t="str">
        <x:v>编程Agent主任务是软件开发时归14并挂13标签</x:v>
      </x:c>
      <x:c r="H27" s="4" t="str">
        <x:v>补充需求、架构、质量、配置与供应链管理标签</x:v>
      </x:c>
    </x:row>
    <x:row r="28" ht="44" customHeight="1">
      <x:c r="A28" s="4" t="n">
        <x:v>15</x:v>
      </x:c>
      <x:c r="B28" s="4" t="str">
        <x:v>部署运维与可观测性</x:v>
      </x:c>
      <x:c r="C28" s="11" t="n">
        <x:f>COUNTIFS('本地项目'!$C$6:$C$606,$A28,'本地项目'!$F$6:$F$606,1)</x:f>
        <x:v>13</x:v>
      </x:c>
      <x:c r="D28" s="11" t="n">
        <x:f>COUNTIFS('GitHub样本'!$C$6:$C$170,$A28,'GitHub样本'!$F$6:$F$170,1)</x:f>
        <x:v>8</x:v>
      </x:c>
      <x:c r="E28" s="9" t="n">
        <x:f>C28/$C$6</x:f>
        <x:v>0.028384279475982533</x:v>
      </x:c>
      <x:c r="F28" s="9" t="n">
        <x:f>D28/$C$9</x:f>
        <x:v>0.07079646017699115</x:v>
      </x:c>
      <x:c r="G28" s="4" t="str">
        <x:v>应用业务监控不一定是系统可观测性；按对象区分</x:v>
      </x:c>
      <x:c r="H28" s="4" t="str">
        <x:v>补充备份恢复、可靠性、发布与运维安全标签</x:v>
      </x:c>
    </x:row>
    <x:row r="31" ht="24" customHeight="1">
      <x:c r="A31" s="16"/>
      <x:c r="B31" s="16" t="str">
        <x:v>待处理（范围或信息待确认）</x:v>
      </x:c>
      <x:c r="C31" s="16" t="n">
        <x:f>C6-SUM(C14:C28)</x:f>
        <x:v>33</x:v>
      </x:c>
      <x:c r="D31" s="16" t="n">
        <x:f>C9-SUM(D14:D28)</x:f>
        <x:v>3</x:v>
      </x:c>
      <x:c r="E31" s="16"/>
      <x:c r="F31" s="16"/>
      <x:c r="G31" s="16"/>
      <x:c r="H31" s="16"/>
    </x:row>
    <x:row r="32" ht="24" customHeight="1">
      <x:c r="A32" s="16"/>
      <x:c r="B32" s="16"/>
      <x:c r="C32" s="16"/>
      <x:c r="D32" s="16"/>
      <x:c r="E32" s="16"/>
      <x:c r="F32" s="16"/>
      <x:c r="G32" s="16"/>
      <x:c r="H32" s="16"/>
    </x:row>
    <x:row r="33" ht="24" customHeight="1">
      <x:c r="A33" s="16" t="str">
        <x:v>分母排除教程/资源/技能资产、ArkUI平台记录与重复记录；信息不足和范围待决项保留在分母。</x:v>
      </x:c>
      <x:c r="B33" s="16"/>
      <x:c r="C33" s="16"/>
      <x:c r="D33" s="16"/>
      <x:c r="E33" s="16"/>
      <x:c r="F33" s="16"/>
      <x:c r="G33" s="16"/>
      <x:c r="H33" s="16"/>
    </x:row>
    <x:row r="34" ht="24" customHeight="1">
      <x:c r="A34" s="16" t="str">
        <x:v>上述比例仅表示样本能否归入类别，不表示鸿蒙适配率、分类准确率或全球场景覆盖率。</x:v>
      </x:c>
      <x:c r="B34" s="16"/>
      <x:c r="C34" s="16"/>
      <x:c r="D34" s="16"/>
      <x:c r="E34" s="16"/>
      <x:c r="F34" s="16"/>
      <x:c r="G34" s="16"/>
      <x:c r="H34" s="16"/>
    </x:row>
    <x:row r="35" ht="24" customHeight="1">
      <x:c r="A35" s="16" t="str">
        <x:v>只有明确主功能才归类。一个主类加多个标签；消费应用可验证场景需求，但不等于三方库。</x:v>
      </x:c>
      <x:c r="B35" s="16"/>
      <x:c r="C35" s="16"/>
      <x:c r="D35" s="16"/>
      <x:c r="E35" s="16"/>
      <x:c r="F35" s="16"/>
      <x:c r="G35" s="16"/>
      <x:c r="H35" s="16"/>
    </x:row>
  </x:sheetData>
  <x:pageMargins left="0.7" right="0.7" top="0.75" bottom="0.75" header="0.3" footer="0.3"/>
  <x:tableParts count="1">
    <x:tablePart xmlns:r="http://schemas.openxmlformats.org/officeDocument/2006/relationships" r:id="R60db2afa8506433d"/>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 hidden="0" customWidth="1"/>
    <x:col min="2" max="2" width="38" hidden="0" customWidth="1"/>
    <x:col min="3" max="3" width="10" hidden="0" customWidth="1"/>
    <x:col min="4" max="4" width="28" hidden="0" customWidth="1"/>
    <x:col min="5" max="5" width="21" hidden="0" customWidth="1"/>
    <x:col min="6" max="6" width="13" hidden="0" customWidth="1"/>
    <x:col min="7" max="7" width="22" hidden="0" customWidth="1"/>
    <x:col min="8" max="8" width="35" hidden="0" customWidth="1"/>
    <x:col min="9" max="9" width="28" hidden="0" customWidth="1"/>
    <x:col min="10" max="10" width="21" hidden="0" customWidth="1"/>
    <x:col min="11" max="11" width="23" hidden="0" customWidth="1"/>
    <x:col min="12" max="12" width="26" hidden="0" customWidth="1"/>
    <x:col min="13" max="13" width="12" hidden="0" customWidth="1"/>
    <x:col min="14" max="14" width="14" hidden="0" customWidth="1"/>
    <x:col min="15" max="15" width="15" hidden="0" customWidth="1"/>
    <x:col min="16" max="16" width="16" hidden="0" customWidth="1"/>
    <x:col min="17" max="17" width="13" hidden="0" customWidth="1"/>
    <x:col min="18" max="18" width="58" hidden="0" customWidth="1"/>
    <x:col min="19" max="19" width="21" hidden="0" customWidth="1"/>
    <x:col min="20" max="20" width="12" hidden="0" customWidth="1"/>
    <x:col min="21" max="21" width="52" hidden="0" customWidth="1"/>
    <x:col min="22" max="22" width="40" hidden="0" customWidth="1"/>
  </x:cols>
  <x:sheetData>
    <x:row r="2">
      <x:c r="A2" s="1" t="str">
        <x:v>本地项目分类审计：保留全部601条源记录</x:v>
      </x:c>
    </x:row>
    <x:row r="3">
      <x:c r="A3" s="10" t="str">
        <x:v>原始来源：全部项目三方库归一总结表.xlsx / 项目三方库总表。满足度沿用当前页面v2；空白表示没有项目级匹配结果。</x:v>
      </x:c>
      <x:c r="B3" s="10"/>
      <x:c r="C3" s="10"/>
      <x:c r="D3" s="10"/>
      <x:c r="E3" s="10"/>
      <x:c r="F3" s="10"/>
      <x:c r="G3" s="10"/>
      <x:c r="H3" s="10"/>
      <x:c r="I3" s="10"/>
      <x:c r="J3" s="10"/>
      <x:c r="K3" s="10"/>
      <x:c r="L3" s="10"/>
      <x:c r="M3" s="10"/>
      <x:c r="N3" s="10"/>
      <x:c r="O3" s="10"/>
      <x:c r="P3" s="10"/>
      <x:c r="Q3" s="10"/>
      <x:c r="R3" s="10"/>
      <x:c r="S3" s="10"/>
      <x:c r="T3" s="10"/>
      <x:c r="U3" s="10"/>
      <x:c r="V3" s="10"/>
    </x:row>
    <x:row r="5" ht="32" customHeight="1">
      <x:c r="A5" s="8" t="str">
        <x:v>源序号</x:v>
      </x:c>
      <x:c r="B5" s="8" t="str">
        <x:v>项目名称</x:v>
      </x:c>
      <x:c r="C5" s="8" t="str">
        <x:v>主类编号</x:v>
      </x:c>
      <x:c r="D5" s="8" t="str">
        <x:v>建议主分类</x:v>
      </x:c>
      <x:c r="E5" s="8" t="str">
        <x:v>证据状态</x:v>
      </x:c>
      <x:c r="F5" s="8" t="str">
        <x:v>纳入去重分母(1/0)</x:v>
      </x:c>
      <x:c r="G5" s="8" t="str">
        <x:v>对象类型</x:v>
      </x:c>
      <x:c r="H5" s="8" t="str">
        <x:v>跨类/行业标签</x:v>
      </x:c>
      <x:c r="I5" s="8" t="str">
        <x:v>原页面分类</x:v>
      </x:c>
      <x:c r="J5" s="8" t="str">
        <x:v>原表语言</x:v>
      </x:c>
      <x:c r="K5" s="8" t="str">
        <x:v>GitHub主语言原值</x:v>
      </x:c>
      <x:c r="L5" s="8" t="str">
        <x:v>原框架</x:v>
      </x:c>
      <x:c r="M5" s="8" t="str">
        <x:v>原依赖数</x:v>
      </x:c>
      <x:c r="N5" s="8" t="str">
        <x:v>清洗后依赖数</x:v>
      </x:c>
      <x:c r="O5" s="8" t="str">
        <x:v>目录匹配依赖数</x:v>
      </x:c>
      <x:c r="P5" s="8" t="str">
        <x:v>原页面依赖满足度</x:v>
      </x:c>
      <x:c r="Q5" s="8" t="str">
        <x:v>重复于源序号</x:v>
      </x:c>
      <x:c r="R5" s="8" t="str">
        <x:v>分类依据</x:v>
      </x:c>
      <x:c r="S5" s="8" t="str">
        <x:v>来源</x:v>
      </x:c>
      <x:c r="T5" s="8" t="str">
        <x:v>源Excel行号</x:v>
      </x:c>
      <x:c r="U5" s="8" t="str">
        <x:v>原项目链接</x:v>
      </x:c>
      <x:c r="V5" s="8" t="str">
        <x:v>规范化项目标识</x:v>
      </x:c>
    </x:row>
    <x:row r="6" ht="44" customHeight="1">
      <x:c r="A6" s="4" t="n">
        <x:v>1</x:v>
      </x:c>
      <x:c r="B6" s="4" t="str">
        <x:v>1Panel-dev/1Panel</x:v>
      </x:c>
      <x:c r="C6" s="4" t="n">
        <x:v>15</x:v>
      </x:c>
      <x:c r="D6" s="4" t="str">
        <x:v>部署运维与可观测性</x:v>
      </x:c>
      <x:c r="E6" s="4" t="str">
        <x:v>本地证据分类</x:v>
      </x:c>
      <x:c r="F6" s="4" t="n">
        <x:v>1</x:v>
      </x:c>
      <x:c r="G6" s="4" t="str">
        <x:v>软件项目</x:v>
      </x:c>
      <x:c r="H6" s="4" t="str">
        <x:v>运维/可观测性</x:v>
      </x:c>
      <x:c r="I6" s="4" t="str">
        <x:v>当前页面未列入</x:v>
      </x:c>
      <x:c r="J6" s="4" t="str">
        <x:v>未记录</x:v>
      </x:c>
      <x:c r="K6" s="4" t="str">
        <x:v>未获取</x:v>
      </x:c>
      <x:c r="L6" s="4" t="str">
        <x:v>未记录</x:v>
      </x:c>
      <x:c r="M6" s="4" t="n">
        <x:v>0</x:v>
      </x:c>
      <x:c r="N6" s="4"/>
      <x:c r="O6" s="4"/>
      <x:c r="P6" s="9"/>
      <x:c r="Q6" s="4"/>
      <x:c r="R6" s="4" t="str">
        <x:v>项目名称/框架的明确功能定位；未逐一在线核验README</x:v>
      </x:c>
      <x:c r="S6" s="4" t="str">
        <x:v>GitHub月榜24-26</x:v>
      </x:c>
      <x:c r="T6" s="4" t="n">
        <x:v>4</x:v>
      </x:c>
      <x:c r="U6" s="4" t="str">
        <x:v>https://github.com/1Panel-dev/1Panel</x:v>
      </x:c>
      <x:c r="V6" s="4" t="str">
        <x:v>1panel-dev/1panel</x:v>
      </x:c>
    </x:row>
    <x:row r="7" ht="44" customHeight="1">
      <x:c r="A7" s="4" t="n">
        <x:v>2</x:v>
      </x:c>
      <x:c r="B7" s="4" t="str">
        <x:v>1c7/chinese-independent-developer</x:v>
      </x:c>
      <x:c r="C7" s="4"/>
      <x:c r="D7" s="4" t="str">
        <x:v>未归入15类</x:v>
      </x:c>
      <x:c r="E7" s="4" t="str">
        <x:v>范围排除</x:v>
      </x:c>
      <x:c r="F7" s="4" t="n">
        <x:v>0</x:v>
      </x:c>
      <x:c r="G7" s="4" t="str">
        <x:v>教程/资源/技能资产</x:v>
      </x:c>
      <x:c r="H7" s="4" t="str">
        <x:v>知识/数据资产</x:v>
      </x:c>
      <x:c r="I7" s="4" t="str">
        <x:v>当前页面未列入</x:v>
      </x:c>
      <x:c r="J7" s="4" t="str">
        <x:v>未记录</x:v>
      </x:c>
      <x:c r="K7" s="4" t="str">
        <x:v>未获取</x:v>
      </x:c>
      <x:c r="L7" s="4" t="str">
        <x:v>未记录</x:v>
      </x:c>
      <x:c r="M7" s="4" t="n">
        <x:v>0</x:v>
      </x:c>
      <x:c r="N7" s="4"/>
      <x:c r="O7" s="4"/>
      <x:c r="P7" s="9"/>
      <x:c r="Q7" s="4"/>
      <x:c r="R7" s="4" t="str">
        <x:v>按项目名称与已获取定位识别为知识、数据或技能资源；非独立软件能力证据</x:v>
      </x:c>
      <x:c r="S7" s="4" t="str">
        <x:v>GitHub月榜24-26</x:v>
      </x:c>
      <x:c r="T7" s="4" t="n">
        <x:v>5</x:v>
      </x:c>
      <x:c r="U7" s="4" t="str">
        <x:v>https://github.com/1c7/chinese-independent-developer</x:v>
      </x:c>
      <x:c r="V7" s="4" t="str">
        <x:v>1c7/chinese-independent-developer</x:v>
      </x:c>
    </x:row>
    <x:row r="8" ht="44" customHeight="1">
      <x:c r="A8" s="4" t="n">
        <x:v>3</x:v>
      </x:c>
      <x:c r="B8" s="4" t="str">
        <x:v>2dust/v2rayNG</x:v>
      </x:c>
      <x:c r="C8" s="4" t="n">
        <x:v>3</x:v>
      </x:c>
      <x:c r="D8" s="4" t="str">
        <x:v>网络与通信协议</x:v>
      </x:c>
      <x:c r="E8" s="4" t="str">
        <x:v>本地证据分类</x:v>
      </x:c>
      <x:c r="F8" s="4" t="n">
        <x:v>1</x:v>
      </x:c>
      <x:c r="G8" s="4" t="str">
        <x:v>软件项目</x:v>
      </x:c>
      <x:c r="H8" s="4" t="str">
        <x:v>网络通信</x:v>
      </x:c>
      <x:c r="I8" s="4" t="str">
        <x:v>当前页面未列入</x:v>
      </x:c>
      <x:c r="J8" s="4" t="str">
        <x:v>未记录</x:v>
      </x:c>
      <x:c r="K8" s="4" t="str">
        <x:v>未获取</x:v>
      </x:c>
      <x:c r="L8" s="4" t="str">
        <x:v>未记录</x:v>
      </x:c>
      <x:c r="M8" s="4" t="n">
        <x:v>0</x:v>
      </x:c>
      <x:c r="N8" s="4"/>
      <x:c r="O8" s="4"/>
      <x:c r="P8" s="9"/>
      <x:c r="Q8" s="4"/>
      <x:c r="R8" s="4" t="str">
        <x:v>项目名称/框架的明确功能定位；未逐一在线核验README</x:v>
      </x:c>
      <x:c r="S8" s="4" t="str">
        <x:v>GitHub月榜24-26</x:v>
      </x:c>
      <x:c r="T8" s="4" t="n">
        <x:v>6</x:v>
      </x:c>
      <x:c r="U8" s="4" t="str">
        <x:v>https://github.com/2dust/v2rayNG</x:v>
      </x:c>
      <x:c r="V8" s="4" t="str">
        <x:v>2dust/v2rayng</x:v>
      </x:c>
    </x:row>
    <x:row r="9" ht="44" customHeight="1">
      <x:c r="A9" s="4" t="n">
        <x:v>4</x:v>
      </x:c>
      <x:c r="B9" s="4" t="str">
        <x:v>521xueweihan/GitHub520</x:v>
      </x:c>
      <x:c r="C9" s="4" t="n">
        <x:v>3</x:v>
      </x:c>
      <x:c r="D9" s="4" t="str">
        <x:v>网络与通信协议</x:v>
      </x:c>
      <x:c r="E9" s="4" t="str">
        <x:v>本地证据分类</x:v>
      </x:c>
      <x:c r="F9" s="4" t="n">
        <x:v>1</x:v>
      </x:c>
      <x:c r="G9" s="4" t="str">
        <x:v>软件项目</x:v>
      </x:c>
      <x:c r="H9" s="4" t="str">
        <x:v>网络通信</x:v>
      </x:c>
      <x:c r="I9" s="4" t="str">
        <x:v>行业与其他应用</x:v>
      </x:c>
      <x:c r="J9" s="4" t="str">
        <x:v>Python</x:v>
      </x:c>
      <x:c r="K9" s="4" t="str">
        <x:v>未获取</x:v>
      </x:c>
      <x:c r="L9" s="4" t="str">
        <x:v>未记录</x:v>
      </x:c>
      <x:c r="M9" s="4" t="n">
        <x:v>5</x:v>
      </x:c>
      <x:c r="N9" s="4" t="n">
        <x:v>5</x:v>
      </x:c>
      <x:c r="O9" s="4" t="n">
        <x:v>3</x:v>
      </x:c>
      <x:c r="P9" s="9" t="n">
        <x:v>0.6</x:v>
      </x:c>
      <x:c r="Q9" s="4"/>
      <x:c r="R9" s="4" t="str">
        <x:v>项目名称/框架的明确功能定位；未逐一在线核验README</x:v>
      </x:c>
      <x:c r="S9" s="4" t="str">
        <x:v>GitHub月榜24-26</x:v>
      </x:c>
      <x:c r="T9" s="4" t="n">
        <x:v>7</x:v>
      </x:c>
      <x:c r="U9" s="4" t="str">
        <x:v>https://github.com/521xueweihan/GitHub520</x:v>
      </x:c>
      <x:c r="V9" s="4" t="str">
        <x:v>521xueweihan/github520</x:v>
      </x:c>
    </x:row>
    <x:row r="10" ht="44" customHeight="1">
      <x:c r="A10" s="4" t="n">
        <x:v>5</x:v>
      </x:c>
      <x:c r="B10" s="4" t="str">
        <x:v>666ghj/BettaFish</x:v>
      </x:c>
      <x:c r="C10" s="4" t="n">
        <x:v>13</x:v>
      </x:c>
      <x:c r="D10" s="4" t="str">
        <x:v>Agent编排与工具执行</x:v>
      </x:c>
      <x:c r="E10" s="4" t="str">
        <x:v>本地证据分类</x:v>
      </x:c>
      <x:c r="F10" s="4" t="n">
        <x:v>1</x:v>
      </x:c>
      <x:c r="G10" s="4" t="str">
        <x:v>软件项目</x:v>
      </x:c>
      <x:c r="H10" s="4" t="str">
        <x:v>Agent/模型与工具</x:v>
      </x:c>
      <x:c r="I10" s="4" t="str">
        <x:v>数据分析与科学计算</x:v>
      </x:c>
      <x:c r="J10" s="4" t="str">
        <x:v>Python</x:v>
      </x:c>
      <x:c r="K10" s="4" t="str">
        <x:v>未获取</x:v>
      </x:c>
      <x:c r="L10" s="4" t="str">
        <x:v>未记录</x:v>
      </x:c>
      <x:c r="M10" s="4" t="n">
        <x:v>54</x:v>
      </x:c>
      <x:c r="N10" s="4" t="n">
        <x:v>54</x:v>
      </x:c>
      <x:c r="O10" s="4" t="n">
        <x:v>46</x:v>
      </x:c>
      <x:c r="P10" s="9" t="n">
        <x:v>0.8518518518518519</x:v>
      </x:c>
      <x:c r="Q10" s="4"/>
      <x:c r="R10" s="4" t="str">
        <x:v>项目名称/框架的明确功能定位；未逐一在线核验README</x:v>
      </x:c>
      <x:c r="S10" s="4" t="str">
        <x:v>GitHub月榜24-26</x:v>
      </x:c>
      <x:c r="T10" s="4" t="n">
        <x:v>8</x:v>
      </x:c>
      <x:c r="U10" s="4" t="str">
        <x:v>https://github.com/666ghj/BettaFish</x:v>
      </x:c>
      <x:c r="V10" s="4" t="str">
        <x:v>666ghj/bettafish</x:v>
      </x:c>
    </x:row>
    <x:row r="11" ht="44" customHeight="1">
      <x:c r="A11" s="4" t="n">
        <x:v>6</x:v>
      </x:c>
      <x:c r="B11" s="4" t="str">
        <x:v>666ghj/MiroFish</x:v>
      </x:c>
      <x:c r="C11" s="4" t="n">
        <x:v>13</x:v>
      </x:c>
      <x:c r="D11" s="4" t="str">
        <x:v>Agent编排与工具执行</x:v>
      </x:c>
      <x:c r="E11" s="4" t="str">
        <x:v>本地证据分类</x:v>
      </x:c>
      <x:c r="F11" s="4" t="n">
        <x:v>1</x:v>
      </x:c>
      <x:c r="G11" s="4" t="str">
        <x:v>软件项目</x:v>
      </x:c>
      <x:c r="H11" s="4" t="str">
        <x:v>Agent/模型与工具</x:v>
      </x:c>
      <x:c r="I11" s="4" t="str">
        <x:v>当前页面未列入</x:v>
      </x:c>
      <x:c r="J11" s="4" t="str">
        <x:v>未记录</x:v>
      </x:c>
      <x:c r="K11" s="4" t="str">
        <x:v>未获取</x:v>
      </x:c>
      <x:c r="L11" s="4" t="str">
        <x:v>未记录</x:v>
      </x:c>
      <x:c r="M11" s="4" t="n">
        <x:v>0</x:v>
      </x:c>
      <x:c r="N11" s="4"/>
      <x:c r="O11" s="4"/>
      <x:c r="P11" s="9"/>
      <x:c r="Q11" s="4"/>
      <x:c r="R11" s="4" t="str">
        <x:v>项目名称/框架的明确功能定位；未逐一在线核验README</x:v>
      </x:c>
      <x:c r="S11" s="4" t="str">
        <x:v>GitHub月榜24-26</x:v>
      </x:c>
      <x:c r="T11" s="4" t="n">
        <x:v>9</x:v>
      </x:c>
      <x:c r="U11" s="4" t="str">
        <x:v>https://github.com/666ghj/MiroFish</x:v>
      </x:c>
      <x:c r="V11" s="4" t="str">
        <x:v>666ghj/mirofish</x:v>
      </x:c>
    </x:row>
    <x:row r="12" ht="44" customHeight="1">
      <x:c r="A12" s="4" t="n">
        <x:v>7</x:v>
      </x:c>
      <x:c r="B12" s="4" t="str">
        <x:v>AIDC-AI/Pixelle-Video</x:v>
      </x:c>
      <x:c r="C12" s="4" t="n">
        <x:v>9</x:v>
      </x:c>
      <x:c r="D12" s="4" t="str">
        <x:v>图形、多媒体与实时应用</x:v>
      </x:c>
      <x:c r="E12" s="4" t="str">
        <x:v>本地证据分类</x:v>
      </x:c>
      <x:c r="F12" s="4" t="n">
        <x:v>1</x:v>
      </x:c>
      <x:c r="G12" s="4" t="str">
        <x:v>软件项目</x:v>
      </x:c>
      <x:c r="H12" s="4" t="str">
        <x:v>媒体/图形</x:v>
      </x:c>
      <x:c r="I12" s="4" t="str">
        <x:v>多媒体与图形</x:v>
      </x:c>
      <x:c r="J12" s="4" t="str">
        <x:v>Python</x:v>
      </x:c>
      <x:c r="K12" s="4" t="str">
        <x:v>未获取</x:v>
      </x:c>
      <x:c r="L12" s="4" t="str">
        <x:v>未记录</x:v>
      </x:c>
      <x:c r="M12" s="4" t="n">
        <x:v>22</x:v>
      </x:c>
      <x:c r="N12" s="4" t="n">
        <x:v>22</x:v>
      </x:c>
      <x:c r="O12" s="4" t="n">
        <x:v>17</x:v>
      </x:c>
      <x:c r="P12" s="9" t="n">
        <x:v>0.7727272727272727</x:v>
      </x:c>
      <x:c r="Q12" s="4"/>
      <x:c r="R12" s="4" t="str">
        <x:v>项目名称/框架的明确功能定位；未逐一在线核验README</x:v>
      </x:c>
      <x:c r="S12" s="4" t="str">
        <x:v>GitHub月榜24-26</x:v>
      </x:c>
      <x:c r="T12" s="4" t="n">
        <x:v>10</x:v>
      </x:c>
      <x:c r="U12" s="4" t="str">
        <x:v>https://github.com/AIDC-AI/Pixelle-Video</x:v>
      </x:c>
      <x:c r="V12" s="4" t="str">
        <x:v>aidc-ai/pixelle-video</x:v>
      </x:c>
    </x:row>
    <x:row r="13" ht="44" customHeight="1">
      <x:c r="A13" s="4" t="n">
        <x:v>8</x:v>
      </x:c>
      <x:c r="B13" s="4" t="str">
        <x:v>Alibaba-NLP/WebAgent</x:v>
      </x:c>
      <x:c r="C13" s="4" t="n">
        <x:v>12</x:v>
      </x:c>
      <x:c r="D13" s="4" t="str">
        <x:v>办公软件与桌面操作自动化</x:v>
      </x:c>
      <x:c r="E13" s="4" t="str">
        <x:v>本地证据分类</x:v>
      </x:c>
      <x:c r="F13" s="4" t="n">
        <x:v>1</x:v>
      </x:c>
      <x:c r="G13" s="4" t="str">
        <x:v>软件项目</x:v>
      </x:c>
      <x:c r="H13" s="4" t="str">
        <x:v>办公/浏览器执行</x:v>
      </x:c>
      <x:c r="I13" s="4" t="str">
        <x:v>云原生、运维与安全</x:v>
      </x:c>
      <x:c r="J13" s="4" t="str">
        <x:v>Python</x:v>
      </x:c>
      <x:c r="K13" s="4" t="str">
        <x:v>未获取</x:v>
      </x:c>
      <x:c r="L13" s="4" t="str">
        <x:v>未记录</x:v>
      </x:c>
      <x:c r="M13" s="4" t="n">
        <x:v>182</x:v>
      </x:c>
      <x:c r="N13" s="4" t="n">
        <x:v>182</x:v>
      </x:c>
      <x:c r="O13" s="4" t="n">
        <x:v>130</x:v>
      </x:c>
      <x:c r="P13" s="9" t="n">
        <x:v>0.7142857142857143</x:v>
      </x:c>
      <x:c r="Q13" s="4"/>
      <x:c r="R13" s="4" t="str">
        <x:v>项目名称/框架的明确功能定位；未逐一在线核验README</x:v>
      </x:c>
      <x:c r="S13" s="4" t="str">
        <x:v>GitHub月榜24-26</x:v>
      </x:c>
      <x:c r="T13" s="4" t="n">
        <x:v>11</x:v>
      </x:c>
      <x:c r="U13" s="4" t="str">
        <x:v>https://github.com/Alibaba-NLP/WebAgent</x:v>
      </x:c>
      <x:c r="V13" s="4" t="str">
        <x:v>alibaba-nlp/webagent</x:v>
      </x:c>
    </x:row>
    <x:row r="14" ht="44" customHeight="1">
      <x:c r="A14" s="4" t="n">
        <x:v>9</x:v>
      </x:c>
      <x:c r="B14" s="4" t="str">
        <x:v>Alishahryar1/free-claude-code</x:v>
      </x:c>
      <x:c r="C14" s="4" t="n">
        <x:v>14</x:v>
      </x:c>
      <x:c r="D14" s="4" t="str">
        <x:v>软件构建、开发与测试</x:v>
      </x:c>
      <x:c r="E14" s="4" t="str">
        <x:v>本地证据分类</x:v>
      </x:c>
      <x:c r="F14" s="4" t="n">
        <x:v>1</x:v>
      </x:c>
      <x:c r="G14" s="4" t="str">
        <x:v>软件项目</x:v>
      </x:c>
      <x:c r="H14" s="4" t="str">
        <x:v>软件工程；编程Agent需额外挂13标签</x:v>
      </x:c>
      <x:c r="I14" s="4" t="str">
        <x:v>Agent 与 AI 应用</x:v>
      </x:c>
      <x:c r="J14" s="4" t="str">
        <x:v>Python</x:v>
      </x:c>
      <x:c r="K14" s="4" t="str">
        <x:v>未获取</x:v>
      </x:c>
      <x:c r="L14" s="4" t="str">
        <x:v>未记录</x:v>
      </x:c>
      <x:c r="M14" s="4" t="n">
        <x:v>20</x:v>
      </x:c>
      <x:c r="N14" s="4" t="n">
        <x:v>20</x:v>
      </x:c>
      <x:c r="O14" s="4" t="n">
        <x:v>16</x:v>
      </x:c>
      <x:c r="P14" s="9" t="n">
        <x:v>0.8</x:v>
      </x:c>
      <x:c r="Q14" s="4"/>
      <x:c r="R14" s="4" t="str">
        <x:v>项目名称/框架的明确功能定位；未逐一在线核验README</x:v>
      </x:c>
      <x:c r="S14" s="4" t="str">
        <x:v>GitHub月榜24-26</x:v>
      </x:c>
      <x:c r="T14" s="4" t="n">
        <x:v>12</x:v>
      </x:c>
      <x:c r="U14" s="4" t="str">
        <x:v>https://github.com/Alishahryar1/free-claude-code</x:v>
      </x:c>
      <x:c r="V14" s="4" t="str">
        <x:v>alishahryar1/free-claude-code</x:v>
      </x:c>
    </x:row>
    <x:row r="15" ht="44" customHeight="1">
      <x:c r="A15" s="4" t="n">
        <x:v>10</x:v>
      </x:c>
      <x:c r="B15" s="4" t="str">
        <x:v>Alvin9999/new-pac</x:v>
      </x:c>
      <x:c r="C15" s="4" t="n">
        <x:v>3</x:v>
      </x:c>
      <x:c r="D15" s="4" t="str">
        <x:v>网络与通信协议</x:v>
      </x:c>
      <x:c r="E15" s="4" t="str">
        <x:v>本地证据分类</x:v>
      </x:c>
      <x:c r="F15" s="4" t="n">
        <x:v>1</x:v>
      </x:c>
      <x:c r="G15" s="4" t="str">
        <x:v>软件项目</x:v>
      </x:c>
      <x:c r="H15" s="4" t="str">
        <x:v>网络通信</x:v>
      </x:c>
      <x:c r="I15" s="4" t="str">
        <x:v>当前页面未列入</x:v>
      </x:c>
      <x:c r="J15" s="4" t="str">
        <x:v>未记录</x:v>
      </x:c>
      <x:c r="K15" s="4" t="str">
        <x:v>未获取</x:v>
      </x:c>
      <x:c r="L15" s="4" t="str">
        <x:v>未记录</x:v>
      </x:c>
      <x:c r="M15" s="4" t="n">
        <x:v>0</x:v>
      </x:c>
      <x:c r="N15" s="4"/>
      <x:c r="O15" s="4"/>
      <x:c r="P15" s="9"/>
      <x:c r="Q15" s="4"/>
      <x:c r="R15" s="4" t="str">
        <x:v>项目名称/框架的明确功能定位；未逐一在线核验README</x:v>
      </x:c>
      <x:c r="S15" s="4" t="str">
        <x:v>GitHub月榜24-26</x:v>
      </x:c>
      <x:c r="T15" s="4" t="n">
        <x:v>13</x:v>
      </x:c>
      <x:c r="U15" s="4" t="str">
        <x:v>https://github.com/Alvin9999/new-pac</x:v>
      </x:c>
      <x:c r="V15" s="4" t="str">
        <x:v>alvin9999/new-pac</x:v>
      </x:c>
    </x:row>
    <x:row r="16" ht="44" customHeight="1">
      <x:c r="A16" s="4" t="n">
        <x:v>11</x:v>
      </x:c>
      <x:c r="B16" s="4" t="str">
        <x:v>Anduin2017/HowToCook</x:v>
      </x:c>
      <x:c r="C16" s="4"/>
      <x:c r="D16" s="4" t="str">
        <x:v>未归入15类</x:v>
      </x:c>
      <x:c r="E16" s="4" t="str">
        <x:v>范围排除</x:v>
      </x:c>
      <x:c r="F16" s="4" t="n">
        <x:v>0</x:v>
      </x:c>
      <x:c r="G16" s="4" t="str">
        <x:v>教程/资源/技能资产</x:v>
      </x:c>
      <x:c r="H16" s="4" t="str">
        <x:v>知识/数据资产</x:v>
      </x:c>
      <x:c r="I16" s="4" t="str">
        <x:v>当前页面未列入</x:v>
      </x:c>
      <x:c r="J16" s="4" t="str">
        <x:v>未记录</x:v>
      </x:c>
      <x:c r="K16" s="4" t="str">
        <x:v>未获取</x:v>
      </x:c>
      <x:c r="L16" s="4" t="str">
        <x:v>未记录</x:v>
      </x:c>
      <x:c r="M16" s="4" t="n">
        <x:v>0</x:v>
      </x:c>
      <x:c r="N16" s="4"/>
      <x:c r="O16" s="4"/>
      <x:c r="P16" s="9"/>
      <x:c r="Q16" s="4"/>
      <x:c r="R16" s="4" t="str">
        <x:v>按项目名称与已获取定位识别为知识、数据或技能资源；非独立软件能力证据</x:v>
      </x:c>
      <x:c r="S16" s="4" t="str">
        <x:v>GitHub月榜24-26</x:v>
      </x:c>
      <x:c r="T16" s="4" t="n">
        <x:v>14</x:v>
      </x:c>
      <x:c r="U16" s="4" t="str">
        <x:v>https://github.com/Anduin2017/HowToCook</x:v>
      </x:c>
      <x:c r="V16" s="4" t="str">
        <x:v>anduin2017/howtocook</x:v>
      </x:c>
    </x:row>
    <x:row r="17" ht="44" customHeight="1">
      <x:c r="A17" s="4" t="n">
        <x:v>12</x:v>
      </x:c>
      <x:c r="B17" s="4" t="str">
        <x:v>ArchiveBox/ArchiveBox</x:v>
      </x:c>
      <x:c r="C17" s="4" t="n">
        <x:v>12</x:v>
      </x:c>
      <x:c r="D17" s="4" t="str">
        <x:v>办公软件与桌面操作自动化</x:v>
      </x:c>
      <x:c r="E17" s="4" t="str">
        <x:v>本地证据分类</x:v>
      </x:c>
      <x:c r="F17" s="4" t="n">
        <x:v>1</x:v>
      </x:c>
      <x:c r="G17" s="4" t="str">
        <x:v>软件项目</x:v>
      </x:c>
      <x:c r="H17" s="4" t="str">
        <x:v>办公/浏览器执行</x:v>
      </x:c>
      <x:c r="I17" s="4" t="str">
        <x:v>Web 与业务服务</x:v>
      </x:c>
      <x:c r="J17" s="4" t="str">
        <x:v>Python</x:v>
      </x:c>
      <x:c r="K17" s="4" t="str">
        <x:v>未获取</x:v>
      </x:c>
      <x:c r="L17" s="4" t="str">
        <x:v>未记录</x:v>
      </x:c>
      <x:c r="M17" s="4" t="n">
        <x:v>10</x:v>
      </x:c>
      <x:c r="N17" s="4" t="n">
        <x:v>10</x:v>
      </x:c>
      <x:c r="O17" s="4" t="n">
        <x:v>6</x:v>
      </x:c>
      <x:c r="P17" s="9" t="n">
        <x:v>0.6</x:v>
      </x:c>
      <x:c r="Q17" s="4"/>
      <x:c r="R17" s="4" t="str">
        <x:v>项目名称/框架的明确功能定位；未逐一在线核验README</x:v>
      </x:c>
      <x:c r="S17" s="4" t="str">
        <x:v>GitHub月榜24-26</x:v>
      </x:c>
      <x:c r="T17" s="4" t="n">
        <x:v>15</x:v>
      </x:c>
      <x:c r="U17" s="4" t="str">
        <x:v>https://github.com/ArchiveBox/ArchiveBox</x:v>
      </x:c>
      <x:c r="V17" s="4" t="str">
        <x:v>archivebox/archivebox</x:v>
      </x:c>
    </x:row>
    <x:row r="18" ht="44" customHeight="1">
      <x:c r="A18" s="4" t="n">
        <x:v>13</x:v>
      </x:c>
      <x:c r="B18" s="4" t="str">
        <x:v>Avaiga/taipy</x:v>
      </x:c>
      <x:c r="C18" s="4" t="n">
        <x:v>7</x:v>
      </x:c>
      <x:c r="D18" s="4" t="str">
        <x:v>用户界面与交互</x:v>
      </x:c>
      <x:c r="E18" s="4" t="str">
        <x:v>本地证据分类</x:v>
      </x:c>
      <x:c r="F18" s="4" t="n">
        <x:v>1</x:v>
      </x:c>
      <x:c r="G18" s="4" t="str">
        <x:v>软件项目</x:v>
      </x:c>
      <x:c r="H18" s="4" t="str">
        <x:v>UI框架</x:v>
      </x:c>
      <x:c r="I18" s="4" t="str">
        <x:v>当前页面未列入</x:v>
      </x:c>
      <x:c r="J18" s="4" t="str">
        <x:v>未记录</x:v>
      </x:c>
      <x:c r="K18" s="4" t="str">
        <x:v>未获取</x:v>
      </x:c>
      <x:c r="L18" s="4" t="str">
        <x:v>未记录</x:v>
      </x:c>
      <x:c r="M18" s="4" t="n">
        <x:v>0</x:v>
      </x:c>
      <x:c r="N18" s="4"/>
      <x:c r="O18" s="4"/>
      <x:c r="P18" s="9"/>
      <x:c r="Q18" s="4"/>
      <x:c r="R18" s="4" t="str">
        <x:v>项目名称/框架的明确功能定位；未逐一在线核验README</x:v>
      </x:c>
      <x:c r="S18" s="4" t="str">
        <x:v>GitHub月榜24-26</x:v>
      </x:c>
      <x:c r="T18" s="4" t="n">
        <x:v>16</x:v>
      </x:c>
      <x:c r="U18" s="4" t="str">
        <x:v>https://github.com/Avaiga/taipy</x:v>
      </x:c>
      <x:c r="V18" s="4" t="str">
        <x:v>avaiga/taipy</x:v>
      </x:c>
    </x:row>
    <x:row r="19" ht="44" customHeight="1">
      <x:c r="A19" s="4" t="n">
        <x:v>14</x:v>
      </x:c>
      <x:c r="B19" s="4" t="str">
        <x:v>AykutSarac/jsoncrack.com</x:v>
      </x:c>
      <x:c r="C19" s="4" t="n">
        <x:v>1</x:v>
      </x:c>
      <x:c r="D19" s="4" t="str">
        <x:v>基础编程与通用工具</x:v>
      </x:c>
      <x:c r="E19" s="4" t="str">
        <x:v>本地证据分类</x:v>
      </x:c>
      <x:c r="F19" s="4" t="n">
        <x:v>1</x:v>
      </x:c>
      <x:c r="G19" s="4" t="str">
        <x:v>软件项目</x:v>
      </x:c>
      <x:c r="H19" s="4" t="str"/>
      <x:c r="I19" s="4" t="str">
        <x:v>当前页面未列入</x:v>
      </x:c>
      <x:c r="J19" s="4" t="str">
        <x:v>未记录</x:v>
      </x:c>
      <x:c r="K19" s="4" t="str">
        <x:v>未获取</x:v>
      </x:c>
      <x:c r="L19" s="4" t="str">
        <x:v>未记录</x:v>
      </x:c>
      <x:c r="M19" s="4" t="n">
        <x:v>0</x:v>
      </x:c>
      <x:c r="N19" s="4"/>
      <x:c r="O19" s="4"/>
      <x:c r="P19" s="9"/>
      <x:c r="Q19" s="4"/>
      <x:c r="R19" s="4" t="str">
        <x:v>项目名称/框架的明确功能定位；未逐一在线核验README</x:v>
      </x:c>
      <x:c r="S19" s="4" t="str">
        <x:v>GitHub月榜24-26</x:v>
      </x:c>
      <x:c r="T19" s="4" t="n">
        <x:v>17</x:v>
      </x:c>
      <x:c r="U19" s="4" t="str">
        <x:v>https://github.com/AykutSarac/jsoncrack.com</x:v>
      </x:c>
      <x:c r="V19" s="4" t="str">
        <x:v>aykutsarac/jsoncrack.com</x:v>
      </x:c>
    </x:row>
    <x:row r="20" ht="44" customHeight="1">
      <x:c r="A20" s="4" t="n">
        <x:v>15</x:v>
      </x:c>
      <x:c r="B20" s="4" t="str">
        <x:v>BerriAI/litellm</x:v>
      </x:c>
      <x:c r="C20" s="4" t="n">
        <x:v>11</x:v>
      </x:c>
      <x:c r="D20" s="4" t="str">
        <x:v>AI模型与机器学习</x:v>
      </x:c>
      <x:c r="E20" s="4" t="str">
        <x:v>元数据已核验</x:v>
      </x:c>
      <x:c r="F20" s="4" t="n">
        <x:v>1</x:v>
      </x:c>
      <x:c r="G20" s="4" t="str">
        <x:v>软件项目</x:v>
      </x:c>
      <x:c r="H20" s="4" t="str">
        <x:v>AI模型/推理</x:v>
      </x:c>
      <x:c r="I20" s="4" t="str">
        <x:v>Agent 与 AI 应用</x:v>
      </x:c>
      <x:c r="J20" s="4" t="str">
        <x:v>Python</x:v>
      </x:c>
      <x:c r="K20" s="4" t="str">
        <x:v>Python</x:v>
      </x:c>
      <x:c r="L20" s="4" t="str">
        <x:v>未记录</x:v>
      </x:c>
      <x:c r="M20" s="4" t="n">
        <x:v>13</x:v>
      </x:c>
      <x:c r="N20" s="4" t="n">
        <x:v>13</x:v>
      </x:c>
      <x:c r="O20" s="4" t="n">
        <x:v>11</x:v>
      </x:c>
      <x:c r="P20" s="9" t="n">
        <x:v>0.8461538461538461</x:v>
      </x:c>
      <x:c r="Q20" s="4"/>
      <x:c r="R20" s="4" t="str">
        <x:v>项目定位与GitHub描述人工对照</x:v>
      </x:c>
      <x:c r="S20" s="4" t="str">
        <x:v>GitHub月榜24-26</x:v>
      </x:c>
      <x:c r="T20" s="4" t="n">
        <x:v>18</x:v>
      </x:c>
      <x:c r="U20" s="4" t="str">
        <x:v>https://github.com/BerriAI/litellm</x:v>
      </x:c>
      <x:c r="V20" s="4" t="str">
        <x:v>berriai/litellm</x:v>
      </x:c>
    </x:row>
    <x:row r="21" ht="44" customHeight="1">
      <x:c r="A21" s="4" t="n">
        <x:v>16</x:v>
      </x:c>
      <x:c r="B21" s="4" t="str">
        <x:v>BloopAI/vibe-kanban</x:v>
      </x:c>
      <x:c r="C21" s="4" t="n">
        <x:v>14</x:v>
      </x:c>
      <x:c r="D21" s="4" t="str">
        <x:v>软件构建、开发与测试</x:v>
      </x:c>
      <x:c r="E21" s="4" t="str">
        <x:v>本地证据分类</x:v>
      </x:c>
      <x:c r="F21" s="4" t="n">
        <x:v>1</x:v>
      </x:c>
      <x:c r="G21" s="4" t="str">
        <x:v>软件项目</x:v>
      </x:c>
      <x:c r="H21" s="4" t="str">
        <x:v>软件工程；编程Agent需额外挂13标签</x:v>
      </x:c>
      <x:c r="I21" s="4" t="str">
        <x:v>行业与其他应用</x:v>
      </x:c>
      <x:c r="J21" s="4" t="str">
        <x:v>JavaScript/TypeScript</x:v>
      </x:c>
      <x:c r="K21" s="4" t="str">
        <x:v>未获取</x:v>
      </x:c>
      <x:c r="L21" s="4" t="str">
        <x:v>未记录</x:v>
      </x:c>
      <x:c r="M21" s="4" t="n">
        <x:v>2</x:v>
      </x:c>
      <x:c r="N21" s="4" t="n">
        <x:v>2</x:v>
      </x:c>
      <x:c r="O21" s="4" t="n">
        <x:v>2</x:v>
      </x:c>
      <x:c r="P21" s="9" t="n">
        <x:v>1</x:v>
      </x:c>
      <x:c r="Q21" s="4"/>
      <x:c r="R21" s="4" t="str">
        <x:v>项目名称/框架的明确功能定位；未逐一在线核验README</x:v>
      </x:c>
      <x:c r="S21" s="4" t="str">
        <x:v>GitHub月榜24-26</x:v>
      </x:c>
      <x:c r="T21" s="4" t="n">
        <x:v>19</x:v>
      </x:c>
      <x:c r="U21" s="4" t="str">
        <x:v>https://github.com/BloopAI/vibe-kanban</x:v>
      </x:c>
      <x:c r="V21" s="4" t="str">
        <x:v>bloopai/vibe-kanban</x:v>
      </x:c>
    </x:row>
    <x:row r="22" ht="44" customHeight="1">
      <x:c r="A22" s="4" t="n">
        <x:v>17</x:v>
      </x:c>
      <x:c r="B22" s="4" t="str">
        <x:v>Byaidu/PDFMathTranslate</x:v>
      </x:c>
      <x:c r="C22" s="4" t="n">
        <x:v>10</x:v>
      </x:c>
      <x:c r="D22" s="4" t="str">
        <x:v>文档与办公数据处理</x:v>
      </x:c>
      <x:c r="E22" s="4" t="str">
        <x:v>本地证据分类</x:v>
      </x:c>
      <x:c r="F22" s="4" t="n">
        <x:v>1</x:v>
      </x:c>
      <x:c r="G22" s="4" t="str">
        <x:v>软件项目</x:v>
      </x:c>
      <x:c r="H22" s="4" t="str">
        <x:v>文档/知识内容</x:v>
      </x:c>
      <x:c r="I22" s="4" t="str">
        <x:v>办公文档与知识管理</x:v>
      </x:c>
      <x:c r="J22" s="4" t="str">
        <x:v>Python</x:v>
      </x:c>
      <x:c r="K22" s="4" t="str">
        <x:v>未获取</x:v>
      </x:c>
      <x:c r="L22" s="4" t="str">
        <x:v>未记录</x:v>
      </x:c>
      <x:c r="M22" s="4" t="n">
        <x:v>23</x:v>
      </x:c>
      <x:c r="N22" s="4" t="n">
        <x:v>23</x:v>
      </x:c>
      <x:c r="O22" s="4" t="n">
        <x:v>16</x:v>
      </x:c>
      <x:c r="P22" s="9" t="n">
        <x:v>0.6956521739130435</x:v>
      </x:c>
      <x:c r="Q22" s="4"/>
      <x:c r="R22" s="4" t="str">
        <x:v>项目名称/框架的明确功能定位；未逐一在线核验README</x:v>
      </x:c>
      <x:c r="S22" s="4" t="str">
        <x:v>GitHub月榜24-26</x:v>
      </x:c>
      <x:c r="T22" s="4" t="n">
        <x:v>20</x:v>
      </x:c>
      <x:c r="U22" s="4" t="str">
        <x:v>https://github.com/Byaidu/PDFMathTranslate</x:v>
      </x:c>
      <x:c r="V22" s="4" t="str">
        <x:v>byaidu/pdfmathtranslate</x:v>
      </x:c>
    </x:row>
    <x:row r="23" ht="44" customHeight="1">
      <x:c r="A23" s="4" t="n">
        <x:v>18</x:v>
      </x:c>
      <x:c r="B23" s="4" t="str">
        <x:v>ByteByteGoHq/system-design-101</x:v>
      </x:c>
      <x:c r="C23" s="4"/>
      <x:c r="D23" s="4" t="str">
        <x:v>未归入15类</x:v>
      </x:c>
      <x:c r="E23" s="4" t="str">
        <x:v>范围排除</x:v>
      </x:c>
      <x:c r="F23" s="4" t="n">
        <x:v>0</x:v>
      </x:c>
      <x:c r="G23" s="4" t="str">
        <x:v>教程/资源/技能资产</x:v>
      </x:c>
      <x:c r="H23" s="4" t="str">
        <x:v>知识/数据资产</x:v>
      </x:c>
      <x:c r="I23" s="4" t="str">
        <x:v>行业与其他应用</x:v>
      </x:c>
      <x:c r="J23" s="4" t="str">
        <x:v>JavaScript/TypeScript</x:v>
      </x:c>
      <x:c r="K23" s="4" t="str">
        <x:v>未获取</x:v>
      </x:c>
      <x:c r="L23" s="4" t="str">
        <x:v>未记录</x:v>
      </x:c>
      <x:c r="M23" s="4" t="n">
        <x:v>1</x:v>
      </x:c>
      <x:c r="N23" s="4" t="n">
        <x:v>1</x:v>
      </x:c>
      <x:c r="O23" s="4" t="n">
        <x:v>1</x:v>
      </x:c>
      <x:c r="P23" s="9" t="n">
        <x:v>1</x:v>
      </x:c>
      <x:c r="Q23" s="4"/>
      <x:c r="R23" s="4" t="str">
        <x:v>按项目名称与已获取定位识别为知识、数据或技能资源；非独立软件能力证据</x:v>
      </x:c>
      <x:c r="S23" s="4" t="str">
        <x:v>GitHub月榜24-26</x:v>
      </x:c>
      <x:c r="T23" s="4" t="n">
        <x:v>21</x:v>
      </x:c>
      <x:c r="U23" s="4" t="str">
        <x:v>https://github.com/ByteByteGoHq/system-design-101</x:v>
      </x:c>
      <x:c r="V23" s="4" t="str">
        <x:v>bytebytegohq/system-design-101</x:v>
      </x:c>
    </x:row>
    <x:row r="24" ht="44" customHeight="1">
      <x:c r="A24" s="4" t="n">
        <x:v>19</x:v>
      </x:c>
      <x:c r="B24" s="4" t="str">
        <x:v>C4illin/ConvertX</x:v>
      </x:c>
      <x:c r="C24" s="4" t="n">
        <x:v>10</x:v>
      </x:c>
      <x:c r="D24" s="4" t="str">
        <x:v>文档与办公数据处理</x:v>
      </x:c>
      <x:c r="E24" s="4" t="str">
        <x:v>本地证据分类</x:v>
      </x:c>
      <x:c r="F24" s="4" t="n">
        <x:v>1</x:v>
      </x:c>
      <x:c r="G24" s="4" t="str">
        <x:v>软件项目</x:v>
      </x:c>
      <x:c r="H24" s="4" t="str">
        <x:v>文档/知识内容</x:v>
      </x:c>
      <x:c r="I24" s="4" t="str">
        <x:v>Web 与业务服务</x:v>
      </x:c>
      <x:c r="J24" s="4" t="str">
        <x:v>JavaScript/TypeScript</x:v>
      </x:c>
      <x:c r="K24" s="4" t="str">
        <x:v>未获取</x:v>
      </x:c>
      <x:c r="L24" s="4" t="str">
        <x:v>未记录</x:v>
      </x:c>
      <x:c r="M24" s="4" t="n">
        <x:v>12</x:v>
      </x:c>
      <x:c r="N24" s="4" t="n">
        <x:v>12</x:v>
      </x:c>
      <x:c r="O24" s="4" t="n">
        <x:v>9</x:v>
      </x:c>
      <x:c r="P24" s="9" t="n">
        <x:v>0.75</x:v>
      </x:c>
      <x:c r="Q24" s="4"/>
      <x:c r="R24" s="4" t="str">
        <x:v>项目名称/框架的明确功能定位；未逐一在线核验README</x:v>
      </x:c>
      <x:c r="S24" s="4" t="str">
        <x:v>GitHub月榜24-26</x:v>
      </x:c>
      <x:c r="T24" s="4" t="n">
        <x:v>22</x:v>
      </x:c>
      <x:c r="U24" s="4" t="str">
        <x:v>https://github.com/C4illin/ConvertX</x:v>
      </x:c>
      <x:c r="V24" s="4" t="str">
        <x:v>c4illin/convertx</x:v>
      </x:c>
    </x:row>
    <x:row r="25" ht="44" customHeight="1">
      <x:c r="A25" s="4" t="n">
        <x:v>20</x:v>
      </x:c>
      <x:c r="B25" s="4" t="str">
        <x:v>Canner/WrenAI</x:v>
      </x:c>
      <x:c r="C25" s="4" t="n">
        <x:v>8</x:v>
      </x:c>
      <x:c r="D25" s="4" t="str">
        <x:v>数据处理与科学计算</x:v>
      </x:c>
      <x:c r="E25" s="4" t="str">
        <x:v>本地证据分类</x:v>
      </x:c>
      <x:c r="F25" s="4" t="n">
        <x:v>1</x:v>
      </x:c>
      <x:c r="G25" s="4" t="str">
        <x:v>软件项目</x:v>
      </x:c>
      <x:c r="H25" s="4" t="str">
        <x:v>数据分析/信息聚合</x:v>
      </x:c>
      <x:c r="I25" s="4" t="str">
        <x:v>当前页面未列入</x:v>
      </x:c>
      <x:c r="J25" s="4" t="str">
        <x:v>未记录</x:v>
      </x:c>
      <x:c r="K25" s="4" t="str">
        <x:v>未获取</x:v>
      </x:c>
      <x:c r="L25" s="4" t="str">
        <x:v>未记录</x:v>
      </x:c>
      <x:c r="M25" s="4" t="n">
        <x:v>0</x:v>
      </x:c>
      <x:c r="N25" s="4"/>
      <x:c r="O25" s="4"/>
      <x:c r="P25" s="9"/>
      <x:c r="Q25" s="4"/>
      <x:c r="R25" s="4" t="str">
        <x:v>项目名称/框架的明确功能定位；未逐一在线核验README</x:v>
      </x:c>
      <x:c r="S25" s="4" t="str">
        <x:v>GitHub月榜24-26</x:v>
      </x:c>
      <x:c r="T25" s="4" t="n">
        <x:v>23</x:v>
      </x:c>
      <x:c r="U25" s="4" t="str">
        <x:v>https://github.com/Canner/WrenAI</x:v>
      </x:c>
      <x:c r="V25" s="4" t="str">
        <x:v>canner/wrenai</x:v>
      </x:c>
    </x:row>
    <x:row r="26" ht="44" customHeight="1">
      <x:c r="A26" s="4" t="n">
        <x:v>21</x:v>
      </x:c>
      <x:c r="B26" s="4" t="str">
        <x:v>ChrisTitusTech/winutil</x:v>
      </x:c>
      <x:c r="C26" s="4" t="n">
        <x:v>2</x:v>
      </x:c>
      <x:c r="D26" s="4" t="str">
        <x:v>系统资源与原生互操作</x:v>
      </x:c>
      <x:c r="E26" s="4" t="str">
        <x:v>本地证据分类</x:v>
      </x:c>
      <x:c r="F26" s="4" t="n">
        <x:v>1</x:v>
      </x:c>
      <x:c r="G26" s="4" t="str">
        <x:v>软件项目</x:v>
      </x:c>
      <x:c r="H26" s="4" t="str">
        <x:v>原生/系统接口</x:v>
      </x:c>
      <x:c r="I26" s="4" t="str">
        <x:v>当前页面未列入</x:v>
      </x:c>
      <x:c r="J26" s="4" t="str">
        <x:v>未记录</x:v>
      </x:c>
      <x:c r="K26" s="4" t="str">
        <x:v>未获取</x:v>
      </x:c>
      <x:c r="L26" s="4" t="str">
        <x:v>未记录</x:v>
      </x:c>
      <x:c r="M26" s="4" t="n">
        <x:v>0</x:v>
      </x:c>
      <x:c r="N26" s="4"/>
      <x:c r="O26" s="4"/>
      <x:c r="P26" s="9"/>
      <x:c r="Q26" s="4"/>
      <x:c r="R26" s="4" t="str">
        <x:v>项目名称/框架的明确功能定位；未逐一在线核验README</x:v>
      </x:c>
      <x:c r="S26" s="4" t="str">
        <x:v>GitHub月榜24-26</x:v>
      </x:c>
      <x:c r="T26" s="4" t="n">
        <x:v>24</x:v>
      </x:c>
      <x:c r="U26" s="4" t="str">
        <x:v>https://github.com/ChrisTitusTech/winutil</x:v>
      </x:c>
      <x:c r="V26" s="4" t="str">
        <x:v>christitustech/winutil</x:v>
      </x:c>
    </x:row>
    <x:row r="27" ht="44" customHeight="1">
      <x:c r="A27" s="4" t="n">
        <x:v>22</x:v>
      </x:c>
      <x:c r="B27" s="4" t="str">
        <x:v>ChristianLempa/boilerplates</x:v>
      </x:c>
      <x:c r="C27" s="4"/>
      <x:c r="D27" s="4" t="str">
        <x:v>未归入15类</x:v>
      </x:c>
      <x:c r="E27" s="4" t="str">
        <x:v>范围排除</x:v>
      </x:c>
      <x:c r="F27" s="4" t="n">
        <x:v>0</x:v>
      </x:c>
      <x:c r="G27" s="4" t="str">
        <x:v>教程/资源/技能资产</x:v>
      </x:c>
      <x:c r="H27" s="4" t="str">
        <x:v>知识/数据资产</x:v>
      </x:c>
      <x:c r="I27" s="4" t="str">
        <x:v>教育、示例与资源</x:v>
      </x:c>
      <x:c r="J27" s="4" t="str">
        <x:v>Python</x:v>
      </x:c>
      <x:c r="K27" s="4" t="str">
        <x:v>未获取</x:v>
      </x:c>
      <x:c r="L27" s="4" t="str">
        <x:v>未记录</x:v>
      </x:c>
      <x:c r="M27" s="4" t="n">
        <x:v>7</x:v>
      </x:c>
      <x:c r="N27" s="4" t="n">
        <x:v>7</x:v>
      </x:c>
      <x:c r="O27" s="4" t="n">
        <x:v>7</x:v>
      </x:c>
      <x:c r="P27" s="9" t="n">
        <x:v>1</x:v>
      </x:c>
      <x:c r="Q27" s="4"/>
      <x:c r="R27" s="4" t="str">
        <x:v>按项目名称与已获取定位识别为知识、数据或技能资源；非独立软件能力证据</x:v>
      </x:c>
      <x:c r="S27" s="4" t="str">
        <x:v>GitHub月榜24-26</x:v>
      </x:c>
      <x:c r="T27" s="4" t="n">
        <x:v>25</x:v>
      </x:c>
      <x:c r="U27" s="4" t="str">
        <x:v>https://github.com/ChristianLempa/boilerplates</x:v>
      </x:c>
      <x:c r="V27" s="4" t="str">
        <x:v>christianlempa/boilerplates</x:v>
      </x:c>
    </x:row>
    <x:row r="28" ht="44" customHeight="1">
      <x:c r="A28" s="4" t="n">
        <x:v>23</x:v>
      </x:c>
      <x:c r="B28" s="4" t="str">
        <x:v>ChromeDevTools/chrome-devtools-mcp</x:v>
      </x:c>
      <x:c r="C28" s="4" t="n">
        <x:v>12</x:v>
      </x:c>
      <x:c r="D28" s="4" t="str">
        <x:v>办公软件与桌面操作自动化</x:v>
      </x:c>
      <x:c r="E28" s="4" t="str">
        <x:v>本地证据分类</x:v>
      </x:c>
      <x:c r="F28" s="4" t="n">
        <x:v>1</x:v>
      </x:c>
      <x:c r="G28" s="4" t="str">
        <x:v>软件项目</x:v>
      </x:c>
      <x:c r="H28" s="4" t="str">
        <x:v>浏览器执行；MCP工具接口</x:v>
      </x:c>
      <x:c r="I28" s="4" t="str">
        <x:v>开发工具与工程效率</x:v>
      </x:c>
      <x:c r="J28" s="4" t="str">
        <x:v>JavaScript/TypeScript</x:v>
      </x:c>
      <x:c r="K28" s="4" t="str">
        <x:v>未获取</x:v>
      </x:c>
      <x:c r="L28" s="4" t="str">
        <x:v>未记录</x:v>
      </x:c>
      <x:c r="M28" s="4" t="n">
        <x:v>12</x:v>
      </x:c>
      <x:c r="N28" s="4" t="n">
        <x:v>12</x:v>
      </x:c>
      <x:c r="O28" s="4" t="n">
        <x:v>8</x:v>
      </x:c>
      <x:c r="P28" s="9" t="n">
        <x:v>0.6666666666666666</x:v>
      </x:c>
      <x:c r="Q28" s="4"/>
      <x:c r="R28" s="4" t="str">
        <x:v>项目名称/框架的明确功能定位；未逐一在线核验README</x:v>
      </x:c>
      <x:c r="S28" s="4" t="str">
        <x:v>GitHub月榜24-26</x:v>
      </x:c>
      <x:c r="T28" s="4" t="n">
        <x:v>26</x:v>
      </x:c>
      <x:c r="U28" s="4" t="str">
        <x:v>https://github.com/ChromeDevTools/chrome-devtools-mcp</x:v>
      </x:c>
      <x:c r="V28" s="4" t="str">
        <x:v>chromedevtools/chrome-devtools-mcp</x:v>
      </x:c>
    </x:row>
    <x:row r="29" ht="44" customHeight="1">
      <x:c r="A29" s="4" t="n">
        <x:v>24</x:v>
      </x:c>
      <x:c r="B29" s="4" t="str">
        <x:v>CloakHQ/CloakBrowser</x:v>
      </x:c>
      <x:c r="C29" s="4" t="n">
        <x:v>12</x:v>
      </x:c>
      <x:c r="D29" s="4" t="str">
        <x:v>办公软件与桌面操作自动化</x:v>
      </x:c>
      <x:c r="E29" s="4" t="str">
        <x:v>本地证据分类</x:v>
      </x:c>
      <x:c r="F29" s="4" t="n">
        <x:v>1</x:v>
      </x:c>
      <x:c r="G29" s="4" t="str">
        <x:v>软件项目</x:v>
      </x:c>
      <x:c r="H29" s="4" t="str">
        <x:v>办公/浏览器执行</x:v>
      </x:c>
      <x:c r="I29" s="4" t="str">
        <x:v>浏览器自动化与数据采集</x:v>
      </x:c>
      <x:c r="J29" s="4" t="str">
        <x:v>Python</x:v>
      </x:c>
      <x:c r="K29" s="4" t="str">
        <x:v>未获取</x:v>
      </x:c>
      <x:c r="L29" s="4" t="str">
        <x:v>未记录</x:v>
      </x:c>
      <x:c r="M29" s="4" t="n">
        <x:v>3</x:v>
      </x:c>
      <x:c r="N29" s="4" t="n">
        <x:v>3</x:v>
      </x:c>
      <x:c r="O29" s="4" t="n">
        <x:v>3</x:v>
      </x:c>
      <x:c r="P29" s="9" t="n">
        <x:v>1</x:v>
      </x:c>
      <x:c r="Q29" s="4"/>
      <x:c r="R29" s="4" t="str">
        <x:v>项目名称/框架的明确功能定位；未逐一在线核验README</x:v>
      </x:c>
      <x:c r="S29" s="4" t="str">
        <x:v>GitHub月榜24-26</x:v>
      </x:c>
      <x:c r="T29" s="4" t="n">
        <x:v>27</x:v>
      </x:c>
      <x:c r="U29" s="4" t="str">
        <x:v>https://github.com/CloakHQ/CloakBrowser</x:v>
      </x:c>
      <x:c r="V29" s="4" t="str">
        <x:v>cloakhq/cloakbrowser</x:v>
      </x:c>
    </x:row>
    <x:row r="30" ht="44" customHeight="1">
      <x:c r="A30" s="4" t="n">
        <x:v>25</x:v>
      </x:c>
      <x:c r="B30" s="4" t="str">
        <x:v>ComposioHQ/awesome-claude-skills</x:v>
      </x:c>
      <x:c r="C30" s="4"/>
      <x:c r="D30" s="4" t="str">
        <x:v>未归入15类</x:v>
      </x:c>
      <x:c r="E30" s="4" t="str">
        <x:v>范围排除</x:v>
      </x:c>
      <x:c r="F30" s="4" t="n">
        <x:v>0</x:v>
      </x:c>
      <x:c r="G30" s="4" t="str">
        <x:v>教程/资源/技能资产</x:v>
      </x:c>
      <x:c r="H30" s="4" t="str">
        <x:v>Agent资源（不等于运行时）</x:v>
      </x:c>
      <x:c r="I30" s="4" t="str">
        <x:v>当前页面未列入</x:v>
      </x:c>
      <x:c r="J30" s="4" t="str">
        <x:v>未记录</x:v>
      </x:c>
      <x:c r="K30" s="4" t="str">
        <x:v>未获取</x:v>
      </x:c>
      <x:c r="L30" s="4" t="str">
        <x:v>未记录</x:v>
      </x:c>
      <x:c r="M30" s="4" t="n">
        <x:v>0</x:v>
      </x:c>
      <x:c r="N30" s="4"/>
      <x:c r="O30" s="4"/>
      <x:c r="P30" s="9"/>
      <x:c r="Q30" s="4"/>
      <x:c r="R30" s="4" t="str">
        <x:v>按项目名称与已获取定位识别为知识、数据或技能资源；非独立软件能力证据</x:v>
      </x:c>
      <x:c r="S30" s="4" t="str">
        <x:v>GitHub月榜24-26</x:v>
      </x:c>
      <x:c r="T30" s="4" t="n">
        <x:v>28</x:v>
      </x:c>
      <x:c r="U30" s="4" t="str">
        <x:v>https://github.com/ComposioHQ/awesome-claude-skills</x:v>
      </x:c>
      <x:c r="V30" s="4" t="str">
        <x:v>composiohq/awesome-claude-skills</x:v>
      </x:c>
    </x:row>
    <x:row r="31" ht="44" customHeight="1">
      <x:c r="A31" s="4" t="n">
        <x:v>26</x:v>
      </x:c>
      <x:c r="B31" s="4" t="str">
        <x:v>ComposioHQ/awesome-codex-skills</x:v>
      </x:c>
      <x:c r="C31" s="4"/>
      <x:c r="D31" s="4" t="str">
        <x:v>未归入15类</x:v>
      </x:c>
      <x:c r="E31" s="4" t="str">
        <x:v>范围排除</x:v>
      </x:c>
      <x:c r="F31" s="4" t="n">
        <x:v>0</x:v>
      </x:c>
      <x:c r="G31" s="4" t="str">
        <x:v>教程/资源/技能资产</x:v>
      </x:c>
      <x:c r="H31" s="4" t="str">
        <x:v>Agent资源（不等于运行时）</x:v>
      </x:c>
      <x:c r="I31" s="4" t="str">
        <x:v>当前页面未列入</x:v>
      </x:c>
      <x:c r="J31" s="4" t="str">
        <x:v>未记录</x:v>
      </x:c>
      <x:c r="K31" s="4" t="str">
        <x:v>未获取</x:v>
      </x:c>
      <x:c r="L31" s="4" t="str">
        <x:v>未记录</x:v>
      </x:c>
      <x:c r="M31" s="4" t="n">
        <x:v>0</x:v>
      </x:c>
      <x:c r="N31" s="4"/>
      <x:c r="O31" s="4"/>
      <x:c r="P31" s="9"/>
      <x:c r="Q31" s="4"/>
      <x:c r="R31" s="4" t="str">
        <x:v>按项目名称与已获取定位识别为知识、数据或技能资源；非独立软件能力证据</x:v>
      </x:c>
      <x:c r="S31" s="4" t="str">
        <x:v>GitHub月榜24-26</x:v>
      </x:c>
      <x:c r="T31" s="4" t="n">
        <x:v>29</x:v>
      </x:c>
      <x:c r="U31" s="4" t="str">
        <x:v>https://github.com/ComposioHQ/awesome-codex-skills</x:v>
      </x:c>
      <x:c r="V31" s="4" t="str">
        <x:v>composiohq/awesome-codex-skills</x:v>
      </x:c>
    </x:row>
    <x:row r="32" ht="44" customHeight="1">
      <x:c r="A32" s="4" t="n">
        <x:v>27</x:v>
      </x:c>
      <x:c r="B32" s="4" t="str">
        <x:v>CorentinTh/it-tools</x:v>
      </x:c>
      <x:c r="C32" s="4" t="n">
        <x:v>1</x:v>
      </x:c>
      <x:c r="D32" s="4" t="str">
        <x:v>基础编程与通用工具</x:v>
      </x:c>
      <x:c r="E32" s="4" t="str">
        <x:v>本地证据分类</x:v>
      </x:c>
      <x:c r="F32" s="4" t="n">
        <x:v>1</x:v>
      </x:c>
      <x:c r="G32" s="4" t="str">
        <x:v>软件项目</x:v>
      </x:c>
      <x:c r="H32" s="4" t="str"/>
      <x:c r="I32" s="4" t="str">
        <x:v>Web 与业务服务</x:v>
      </x:c>
      <x:c r="J32" s="4" t="str">
        <x:v>JavaScript/TypeScript</x:v>
      </x:c>
      <x:c r="K32" s="4" t="str">
        <x:v>未获取</x:v>
      </x:c>
      <x:c r="L32" s="4" t="str">
        <x:v>未记录</x:v>
      </x:c>
      <x:c r="M32" s="4" t="n">
        <x:v>76</x:v>
      </x:c>
      <x:c r="N32" s="4" t="n">
        <x:v>76</x:v>
      </x:c>
      <x:c r="O32" s="4" t="n">
        <x:v>59</x:v>
      </x:c>
      <x:c r="P32" s="9" t="n">
        <x:v>0.7763157894736842</x:v>
      </x:c>
      <x:c r="Q32" s="4"/>
      <x:c r="R32" s="4" t="str">
        <x:v>项目名称/框架的明确功能定位；未逐一在线核验README</x:v>
      </x:c>
      <x:c r="S32" s="4" t="str">
        <x:v>GitHub月榜24-26</x:v>
      </x:c>
      <x:c r="T32" s="4" t="n">
        <x:v>30</x:v>
      </x:c>
      <x:c r="U32" s="4" t="str">
        <x:v>https://github.com/CorentinTh/it-tools</x:v>
      </x:c>
      <x:c r="V32" s="4" t="str">
        <x:v>corentinth/it-tools</x:v>
      </x:c>
    </x:row>
    <x:row r="33" ht="44" customHeight="1">
      <x:c r="A33" s="4" t="n">
        <x:v>28</x:v>
      </x:c>
      <x:c r="B33" s="4" t="str">
        <x:v>D4Vinci/Scrapling</x:v>
      </x:c>
      <x:c r="C33" s="4" t="n">
        <x:v>12</x:v>
      </x:c>
      <x:c r="D33" s="4" t="str">
        <x:v>办公软件与桌面操作自动化</x:v>
      </x:c>
      <x:c r="E33" s="4" t="str">
        <x:v>本地证据分类</x:v>
      </x:c>
      <x:c r="F33" s="4" t="n">
        <x:v>1</x:v>
      </x:c>
      <x:c r="G33" s="4" t="str">
        <x:v>软件项目</x:v>
      </x:c>
      <x:c r="H33" s="4" t="str">
        <x:v>办公/浏览器执行</x:v>
      </x:c>
      <x:c r="I33" s="4" t="str">
        <x:v>浏览器自动化与数据采集</x:v>
      </x:c>
      <x:c r="J33" s="4" t="str">
        <x:v>Python</x:v>
      </x:c>
      <x:c r="K33" s="4" t="str">
        <x:v>未获取</x:v>
      </x:c>
      <x:c r="L33" s="4" t="str">
        <x:v>未记录</x:v>
      </x:c>
      <x:c r="M33" s="4" t="n">
        <x:v>5</x:v>
      </x:c>
      <x:c r="N33" s="4" t="n">
        <x:v>5</x:v>
      </x:c>
      <x:c r="O33" s="4" t="n">
        <x:v>5</x:v>
      </x:c>
      <x:c r="P33" s="9" t="n">
        <x:v>1</x:v>
      </x:c>
      <x:c r="Q33" s="4"/>
      <x:c r="R33" s="4" t="str">
        <x:v>项目名称/框架的明确功能定位；未逐一在线核验README</x:v>
      </x:c>
      <x:c r="S33" s="4" t="str">
        <x:v>GitHub月榜24-26</x:v>
      </x:c>
      <x:c r="T33" s="4" t="n">
        <x:v>31</x:v>
      </x:c>
      <x:c r="U33" s="4" t="str">
        <x:v>https://github.com/D4Vinci/Scrapling</x:v>
      </x:c>
      <x:c r="V33" s="4" t="str">
        <x:v>d4vinci/scrapling</x:v>
      </x:c>
    </x:row>
    <x:row r="34" ht="44" customHeight="1">
      <x:c r="A34" s="4" t="n">
        <x:v>29</x:v>
      </x:c>
      <x:c r="B34" s="4" t="str">
        <x:v>DS4SD/docling</x:v>
      </x:c>
      <x:c r="C34" s="4" t="n">
        <x:v>10</x:v>
      </x:c>
      <x:c r="D34" s="4" t="str">
        <x:v>文档与办公数据处理</x:v>
      </x:c>
      <x:c r="E34" s="4" t="str">
        <x:v>本地证据分类</x:v>
      </x:c>
      <x:c r="F34" s="4" t="n">
        <x:v>1</x:v>
      </x:c>
      <x:c r="G34" s="4" t="str">
        <x:v>软件项目</x:v>
      </x:c>
      <x:c r="H34" s="4" t="str">
        <x:v>文档/知识内容</x:v>
      </x:c>
      <x:c r="I34" s="4" t="str">
        <x:v>行业与其他应用</x:v>
      </x:c>
      <x:c r="J34" s="4" t="str">
        <x:v>Python</x:v>
      </x:c>
      <x:c r="K34" s="4" t="str">
        <x:v>未获取</x:v>
      </x:c>
      <x:c r="L34" s="4" t="str">
        <x:v>未记录</x:v>
      </x:c>
      <x:c r="M34" s="4" t="n">
        <x:v>9</x:v>
      </x:c>
      <x:c r="N34" s="4" t="n">
        <x:v>9</x:v>
      </x:c>
      <x:c r="O34" s="4" t="n">
        <x:v>7</x:v>
      </x:c>
      <x:c r="P34" s="9" t="n">
        <x:v>0.7777777777777778</x:v>
      </x:c>
      <x:c r="Q34" s="4"/>
      <x:c r="R34" s="4" t="str">
        <x:v>项目名称/框架的明确功能定位；未逐一在线核验README</x:v>
      </x:c>
      <x:c r="S34" s="4" t="str">
        <x:v>GitHub月榜24-26</x:v>
      </x:c>
      <x:c r="T34" s="4" t="n">
        <x:v>32</x:v>
      </x:c>
      <x:c r="U34" s="4" t="str">
        <x:v>https://github.com/DS4SD/docling</x:v>
      </x:c>
      <x:c r="V34" s="4" t="str">
        <x:v>ds4sd/docling</x:v>
      </x:c>
    </x:row>
    <x:row r="35" ht="44" customHeight="1">
      <x:c r="A35" s="4" t="n">
        <x:v>30</x:v>
      </x:c>
      <x:c r="B35" s="4" t="str">
        <x:v>DataExpert-io/data-engineer-handbook</x:v>
      </x:c>
      <x:c r="C35" s="4"/>
      <x:c r="D35" s="4" t="str">
        <x:v>未归入15类</x:v>
      </x:c>
      <x:c r="E35" s="4" t="str">
        <x:v>范围排除</x:v>
      </x:c>
      <x:c r="F35" s="4" t="n">
        <x:v>0</x:v>
      </x:c>
      <x:c r="G35" s="4" t="str">
        <x:v>教程/资源/技能资产</x:v>
      </x:c>
      <x:c r="H35" s="4" t="str">
        <x:v>知识/数据资产</x:v>
      </x:c>
      <x:c r="I35" s="4" t="str">
        <x:v>当前页面未列入</x:v>
      </x:c>
      <x:c r="J35" s="4" t="str">
        <x:v>未记录</x:v>
      </x:c>
      <x:c r="K35" s="4" t="str">
        <x:v>未获取</x:v>
      </x:c>
      <x:c r="L35" s="4" t="str">
        <x:v>未记录</x:v>
      </x:c>
      <x:c r="M35" s="4" t="n">
        <x:v>0</x:v>
      </x:c>
      <x:c r="N35" s="4"/>
      <x:c r="O35" s="4"/>
      <x:c r="P35" s="9"/>
      <x:c r="Q35" s="4"/>
      <x:c r="R35" s="4" t="str">
        <x:v>按项目名称与已获取定位识别为知识、数据或技能资源；非独立软件能力证据</x:v>
      </x:c>
      <x:c r="S35" s="4" t="str">
        <x:v>GitHub月榜24-26</x:v>
      </x:c>
      <x:c r="T35" s="4" t="n">
        <x:v>33</x:v>
      </x:c>
      <x:c r="U35" s="4" t="str">
        <x:v>https://github.com/DataExpert-io/data-engineer-handbook</x:v>
      </x:c>
      <x:c r="V35" s="4" t="str">
        <x:v>dataexpert-io/data-engineer-handbook</x:v>
      </x:c>
    </x:row>
    <x:row r="36" ht="44" customHeight="1">
      <x:c r="A36" s="4" t="n">
        <x:v>31</x:v>
      </x:c>
      <x:c r="B36" s="4" t="str">
        <x:v>DataTalksClub/machine-learning-zoomcamp</x:v>
      </x:c>
      <x:c r="C36" s="4"/>
      <x:c r="D36" s="4" t="str">
        <x:v>未归入15类</x:v>
      </x:c>
      <x:c r="E36" s="4" t="str">
        <x:v>范围排除</x:v>
      </x:c>
      <x:c r="F36" s="4" t="n">
        <x:v>0</x:v>
      </x:c>
      <x:c r="G36" s="4" t="str">
        <x:v>教程/资源/技能资产</x:v>
      </x:c>
      <x:c r="H36" s="4" t="str">
        <x:v>知识/数据资产</x:v>
      </x:c>
      <x:c r="I36" s="4" t="str">
        <x:v>当前页面未列入</x:v>
      </x:c>
      <x:c r="J36" s="4" t="str">
        <x:v>未记录</x:v>
      </x:c>
      <x:c r="K36" s="4" t="str">
        <x:v>未获取</x:v>
      </x:c>
      <x:c r="L36" s="4" t="str">
        <x:v>未记录</x:v>
      </x:c>
      <x:c r="M36" s="4" t="n">
        <x:v>0</x:v>
      </x:c>
      <x:c r="N36" s="4"/>
      <x:c r="O36" s="4"/>
      <x:c r="P36" s="9"/>
      <x:c r="Q36" s="4"/>
      <x:c r="R36" s="4" t="str">
        <x:v>按项目名称与已获取定位识别为知识、数据或技能资源；非独立软件能力证据</x:v>
      </x:c>
      <x:c r="S36" s="4" t="str">
        <x:v>GitHub月榜24-26</x:v>
      </x:c>
      <x:c r="T36" s="4" t="n">
        <x:v>34</x:v>
      </x:c>
      <x:c r="U36" s="4" t="str">
        <x:v>https://github.com/DataTalksClub/machine-learning-zoomcamp</x:v>
      </x:c>
      <x:c r="V36" s="4" t="str">
        <x:v>datatalksclub/machine-learning-zoomcamp</x:v>
      </x:c>
    </x:row>
    <x:row r="37" ht="44" customHeight="1">
      <x:c r="A37" s="4" t="n">
        <x:v>32</x:v>
      </x:c>
      <x:c r="B37" s="4" t="str">
        <x:v>DayuanJiang/next-ai-draw-io</x:v>
      </x:c>
      <x:c r="C37" s="4" t="n">
        <x:v>9</x:v>
      </x:c>
      <x:c r="D37" s="4" t="str">
        <x:v>图形、多媒体与实时应用</x:v>
      </x:c>
      <x:c r="E37" s="4" t="str">
        <x:v>本地证据分类</x:v>
      </x:c>
      <x:c r="F37" s="4" t="n">
        <x:v>1</x:v>
      </x:c>
      <x:c r="G37" s="4" t="str">
        <x:v>软件项目</x:v>
      </x:c>
      <x:c r="H37" s="4" t="str">
        <x:v>媒体/图形应用</x:v>
      </x:c>
      <x:c r="I37" s="4" t="str">
        <x:v>Agent 与 AI 应用</x:v>
      </x:c>
      <x:c r="J37" s="4" t="str">
        <x:v>JavaScript/TypeScript</x:v>
      </x:c>
      <x:c r="K37" s="4" t="str">
        <x:v>未获取</x:v>
      </x:c>
      <x:c r="L37" s="4" t="str">
        <x:v>未记录</x:v>
      </x:c>
      <x:c r="M37" s="4" t="n">
        <x:v>56</x:v>
      </x:c>
      <x:c r="N37" s="4" t="n">
        <x:v>56</x:v>
      </x:c>
      <x:c r="O37" s="4" t="n">
        <x:v>44</x:v>
      </x:c>
      <x:c r="P37" s="9" t="n">
        <x:v>0.7857142857142857</x:v>
      </x:c>
      <x:c r="Q37" s="4"/>
      <x:c r="R37" s="4" t="str">
        <x:v>项目名称/框架的明确功能定位；未逐一在线核验README</x:v>
      </x:c>
      <x:c r="S37" s="4" t="str">
        <x:v>GitHub月榜24-26</x:v>
      </x:c>
      <x:c r="T37" s="4" t="n">
        <x:v>35</x:v>
      </x:c>
      <x:c r="U37" s="4" t="str">
        <x:v>https://github.com/DayuanJiang/next-ai-draw-io</x:v>
      </x:c>
      <x:c r="V37" s="4" t="str">
        <x:v>dayuanjiang/next-ai-draw-io</x:v>
      </x:c>
    </x:row>
    <x:row r="38" ht="44" customHeight="1">
      <x:c r="A38" s="4" t="n">
        <x:v>33</x:v>
      </x:c>
      <x:c r="B38" s="4" t="str">
        <x:v>DeusData/codebase-memory-mcp</x:v>
      </x:c>
      <x:c r="C38" s="4" t="n">
        <x:v>14</x:v>
      </x:c>
      <x:c r="D38" s="4" t="str">
        <x:v>软件构建、开发与测试</x:v>
      </x:c>
      <x:c r="E38" s="4" t="str">
        <x:v>本地证据分类</x:v>
      </x:c>
      <x:c r="F38" s="4" t="n">
        <x:v>1</x:v>
      </x:c>
      <x:c r="G38" s="4" t="str">
        <x:v>软件项目</x:v>
      </x:c>
      <x:c r="H38" s="4" t="str">
        <x:v>软件工程；编程Agent需额外挂13标签</x:v>
      </x:c>
      <x:c r="I38" s="4" t="str">
        <x:v>当前页面未列入</x:v>
      </x:c>
      <x:c r="J38" s="4" t="str">
        <x:v>未记录</x:v>
      </x:c>
      <x:c r="K38" s="4" t="str">
        <x:v>未获取</x:v>
      </x:c>
      <x:c r="L38" s="4" t="str">
        <x:v>未记录</x:v>
      </x:c>
      <x:c r="M38" s="4" t="n">
        <x:v>0</x:v>
      </x:c>
      <x:c r="N38" s="4"/>
      <x:c r="O38" s="4"/>
      <x:c r="P38" s="9"/>
      <x:c r="Q38" s="4"/>
      <x:c r="R38" s="4" t="str">
        <x:v>项目名称/框架的明确功能定位；未逐一在线核验README</x:v>
      </x:c>
      <x:c r="S38" s="4" t="str">
        <x:v>GitHub月榜24-26</x:v>
      </x:c>
      <x:c r="T38" s="4" t="n">
        <x:v>36</x:v>
      </x:c>
      <x:c r="U38" s="4" t="str">
        <x:v>https://github.com/DeusData/codebase-memory-mcp</x:v>
      </x:c>
      <x:c r="V38" s="4" t="str">
        <x:v>deusdata/codebase-memory-mcp</x:v>
      </x:c>
    </x:row>
    <x:row r="39" ht="44" customHeight="1">
      <x:c r="A39" s="4" t="n">
        <x:v>34</x:v>
      </x:c>
      <x:c r="B39" s="4" t="str">
        <x:v>DiceDB/dice</x:v>
      </x:c>
      <x:c r="C39" s="4" t="n">
        <x:v>5</x:v>
      </x:c>
      <x:c r="D39" s="4" t="str">
        <x:v>数据库、存储与检索</x:v>
      </x:c>
      <x:c r="E39" s="4" t="str">
        <x:v>本地证据分类</x:v>
      </x:c>
      <x:c r="F39" s="4" t="n">
        <x:v>1</x:v>
      </x:c>
      <x:c r="G39" s="4" t="str">
        <x:v>软件项目</x:v>
      </x:c>
      <x:c r="H39" s="4" t="str">
        <x:v>数据服务</x:v>
      </x:c>
      <x:c r="I39" s="4" t="str">
        <x:v>当前页面未列入</x:v>
      </x:c>
      <x:c r="J39" s="4" t="str">
        <x:v>未记录</x:v>
      </x:c>
      <x:c r="K39" s="4" t="str">
        <x:v>未获取</x:v>
      </x:c>
      <x:c r="L39" s="4" t="str">
        <x:v>未记录</x:v>
      </x:c>
      <x:c r="M39" s="4" t="n">
        <x:v>0</x:v>
      </x:c>
      <x:c r="N39" s="4"/>
      <x:c r="O39" s="4"/>
      <x:c r="P39" s="9"/>
      <x:c r="Q39" s="4"/>
      <x:c r="R39" s="4" t="str">
        <x:v>项目名称/框架的明确功能定位；未逐一在线核验README</x:v>
      </x:c>
      <x:c r="S39" s="4" t="str">
        <x:v>GitHub月榜24-26</x:v>
      </x:c>
      <x:c r="T39" s="4" t="n">
        <x:v>37</x:v>
      </x:c>
      <x:c r="U39" s="4" t="str">
        <x:v>https://github.com/DiceDB/dice</x:v>
      </x:c>
      <x:c r="V39" s="4" t="str">
        <x:v>dicedb/dice</x:v>
      </x:c>
    </x:row>
    <x:row r="40" ht="44" customHeight="1">
      <x:c r="A40" s="4" t="n">
        <x:v>35</x:v>
      </x:c>
      <x:c r="B40" s="4" t="str">
        <x:v>DietrichGebert/ponytail</x:v>
      </x:c>
      <x:c r="C40" s="4"/>
      <x:c r="D40" s="4" t="str">
        <x:v>未归入15类</x:v>
      </x:c>
      <x:c r="E40" s="4" t="str">
        <x:v>范围排除</x:v>
      </x:c>
      <x:c r="F40" s="4" t="n">
        <x:v>0</x:v>
      </x:c>
      <x:c r="G40" s="4" t="str">
        <x:v>教程/资源/技能资产</x:v>
      </x:c>
      <x:c r="H40" s="4" t="str">
        <x:v>知识/数据资产</x:v>
      </x:c>
      <x:c r="I40" s="4" t="str">
        <x:v>当前页面未列入</x:v>
      </x:c>
      <x:c r="J40" s="4" t="str">
        <x:v>未记录</x:v>
      </x:c>
      <x:c r="K40" s="4" t="str">
        <x:v>JavaScript</x:v>
      </x:c>
      <x:c r="L40" s="4" t="str">
        <x:v>未记录</x:v>
      </x:c>
      <x:c r="M40" s="4" t="n">
        <x:v>0</x:v>
      </x:c>
      <x:c r="N40" s="4"/>
      <x:c r="O40" s="4"/>
      <x:c r="P40" s="9"/>
      <x:c r="Q40" s="4"/>
      <x:c r="R40" s="4" t="str">
        <x:v>按项目名称与已获取定位识别为知识、数据或技能资源；非独立软件能力证据</x:v>
      </x:c>
      <x:c r="S40" s="4" t="str">
        <x:v>GitHub月榜24-26</x:v>
      </x:c>
      <x:c r="T40" s="4" t="n">
        <x:v>38</x:v>
      </x:c>
      <x:c r="U40" s="4" t="str">
        <x:v>https://github.com/DietrichGebert/ponytail</x:v>
      </x:c>
      <x:c r="V40" s="4" t="str">
        <x:v>dietrichgebert/ponytail</x:v>
      </x:c>
    </x:row>
    <x:row r="41" ht="44" customHeight="1">
      <x:c r="A41" s="4" t="n">
        <x:v>36</x:v>
      </x:c>
      <x:c r="B41" s="4" t="str">
        <x:v>DigitalPlatDev/FreeDomain</x:v>
      </x:c>
      <x:c r="C41" s="4"/>
      <x:c r="D41" s="4" t="str">
        <x:v>未归入15类</x:v>
      </x:c>
      <x:c r="E41" s="4" t="str">
        <x:v>范围排除</x:v>
      </x:c>
      <x:c r="F41" s="4" t="n">
        <x:v>0</x:v>
      </x:c>
      <x:c r="G41" s="4" t="str">
        <x:v>教程/资源/技能资产</x:v>
      </x:c>
      <x:c r="H41" s="4" t="str">
        <x:v>知识/数据资产</x:v>
      </x:c>
      <x:c r="I41" s="4" t="str">
        <x:v>当前页面未列入</x:v>
      </x:c>
      <x:c r="J41" s="4" t="str">
        <x:v>未记录</x:v>
      </x:c>
      <x:c r="K41" s="4" t="str">
        <x:v>Markdown</x:v>
      </x:c>
      <x:c r="L41" s="4" t="str">
        <x:v>未记录</x:v>
      </x:c>
      <x:c r="M41" s="4" t="n">
        <x:v>0</x:v>
      </x:c>
      <x:c r="N41" s="4"/>
      <x:c r="O41" s="4"/>
      <x:c r="P41" s="9"/>
      <x:c r="Q41" s="4"/>
      <x:c r="R41" s="4" t="str">
        <x:v>按项目名称与已获取定位识别为知识、数据或技能资源；非独立软件能力证据</x:v>
      </x:c>
      <x:c r="S41" s="4" t="str">
        <x:v>GitHub月榜24-26</x:v>
      </x:c>
      <x:c r="T41" s="4" t="n">
        <x:v>39</x:v>
      </x:c>
      <x:c r="U41" s="4" t="str">
        <x:v>https://github.com/DigitalPlatDev/FreeDomain</x:v>
      </x:c>
      <x:c r="V41" s="4" t="str">
        <x:v>digitalplatdev/freedomain</x:v>
      </x:c>
    </x:row>
    <x:row r="42" ht="44" customHeight="1">
      <x:c r="A42" s="4" t="n">
        <x:v>37</x:v>
      </x:c>
      <x:c r="B42" s="4" t="str">
        <x:v>DioxusLabs/dioxus</x:v>
      </x:c>
      <x:c r="C42" s="4" t="n">
        <x:v>7</x:v>
      </x:c>
      <x:c r="D42" s="4" t="str">
        <x:v>用户界面与交互</x:v>
      </x:c>
      <x:c r="E42" s="4" t="str">
        <x:v>本地证据分类</x:v>
      </x:c>
      <x:c r="F42" s="4" t="n">
        <x:v>1</x:v>
      </x:c>
      <x:c r="G42" s="4" t="str">
        <x:v>软件项目</x:v>
      </x:c>
      <x:c r="H42" s="4" t="str">
        <x:v>UI框架</x:v>
      </x:c>
      <x:c r="I42" s="4" t="str">
        <x:v>Web 与业务服务</x:v>
      </x:c>
      <x:c r="J42" s="4" t="str">
        <x:v>Rust</x:v>
      </x:c>
      <x:c r="K42" s="4" t="str">
        <x:v>未获取</x:v>
      </x:c>
      <x:c r="L42" s="4" t="str">
        <x:v>未记录</x:v>
      </x:c>
      <x:c r="M42" s="4" t="n">
        <x:v>30</x:v>
      </x:c>
      <x:c r="N42" s="4" t="n">
        <x:v>30</x:v>
      </x:c>
      <x:c r="O42" s="4" t="n">
        <x:v>1</x:v>
      </x:c>
      <x:c r="P42" s="9" t="n">
        <x:v>0.03333333333333333</x:v>
      </x:c>
      <x:c r="Q42" s="4"/>
      <x:c r="R42" s="4" t="str">
        <x:v>项目名称/框架的明确功能定位；未逐一在线核验README</x:v>
      </x:c>
      <x:c r="S42" s="4" t="str">
        <x:v>GitHub月榜24-26</x:v>
      </x:c>
      <x:c r="T42" s="4" t="n">
        <x:v>40</x:v>
      </x:c>
      <x:c r="U42" s="4" t="str">
        <x:v>https://github.com/DioxusLabs/dioxus</x:v>
      </x:c>
      <x:c r="V42" s="4" t="str">
        <x:v>dioxuslabs/dioxus</x:v>
      </x:c>
    </x:row>
    <x:row r="43" ht="44" customHeight="1">
      <x:c r="A43" s="4" t="n">
        <x:v>38</x:v>
      </x:c>
      <x:c r="B43" s="4" t="str">
        <x:v>Fincept-Corporation/FinceptTerminal</x:v>
      </x:c>
      <x:c r="C43" s="4" t="n">
        <x:v>8</x:v>
      </x:c>
      <x:c r="D43" s="4" t="str">
        <x:v>数据处理与科学计算</x:v>
      </x:c>
      <x:c r="E43" s="4" t="str">
        <x:v>本地证据分类</x:v>
      </x:c>
      <x:c r="F43" s="4" t="n">
        <x:v>1</x:v>
      </x:c>
      <x:c r="G43" s="4" t="str">
        <x:v>软件项目</x:v>
      </x:c>
      <x:c r="H43" s="4" t="str">
        <x:v>数据/行业分析</x:v>
      </x:c>
      <x:c r="I43" s="4" t="str">
        <x:v>当前页面未列入</x:v>
      </x:c>
      <x:c r="J43" s="4" t="str">
        <x:v>未记录</x:v>
      </x:c>
      <x:c r="K43" s="4" t="str">
        <x:v>未获取</x:v>
      </x:c>
      <x:c r="L43" s="4" t="str">
        <x:v>未记录</x:v>
      </x:c>
      <x:c r="M43" s="4" t="n">
        <x:v>0</x:v>
      </x:c>
      <x:c r="N43" s="4"/>
      <x:c r="O43" s="4"/>
      <x:c r="P43" s="9"/>
      <x:c r="Q43" s="4"/>
      <x:c r="R43" s="4" t="str">
        <x:v>项目名称/框架的明确功能定位；未逐一在线核验README</x:v>
      </x:c>
      <x:c r="S43" s="4" t="str">
        <x:v>GitHub月榜24-26</x:v>
      </x:c>
      <x:c r="T43" s="4" t="n">
        <x:v>41</x:v>
      </x:c>
      <x:c r="U43" s="4" t="str">
        <x:v>https://github.com/Fincept-Corporation/FinceptTerminal</x:v>
      </x:c>
      <x:c r="V43" s="4" t="str">
        <x:v>fincept-corporation/finceptterminal</x:v>
      </x:c>
    </x:row>
    <x:row r="44" ht="44" customHeight="1">
      <x:c r="A44" s="4" t="n">
        <x:v>39</x:v>
      </x:c>
      <x:c r="B44" s="4" t="str">
        <x:v>FlowiseAI/Flowise</x:v>
      </x:c>
      <x:c r="C44" s="4" t="n">
        <x:v>13</x:v>
      </x:c>
      <x:c r="D44" s="4" t="str">
        <x:v>Agent编排与工具执行</x:v>
      </x:c>
      <x:c r="E44" s="4" t="str">
        <x:v>本地证据分类</x:v>
      </x:c>
      <x:c r="F44" s="4" t="n">
        <x:v>1</x:v>
      </x:c>
      <x:c r="G44" s="4" t="str">
        <x:v>软件项目</x:v>
      </x:c>
      <x:c r="H44" s="4" t="str">
        <x:v>Agent/模型与工具</x:v>
      </x:c>
      <x:c r="I44" s="4" t="str">
        <x:v>行业与其他应用</x:v>
      </x:c>
      <x:c r="J44" s="4" t="str">
        <x:v>JavaScript/TypeScript</x:v>
      </x:c>
      <x:c r="K44" s="4" t="str">
        <x:v>未获取</x:v>
      </x:c>
      <x:c r="L44" s="4" t="str">
        <x:v>未记录</x:v>
      </x:c>
      <x:c r="M44" s="4" t="n">
        <x:v>3</x:v>
      </x:c>
      <x:c r="N44" s="4" t="n">
        <x:v>3</x:v>
      </x:c>
      <x:c r="O44" s="4" t="n">
        <x:v>2</x:v>
      </x:c>
      <x:c r="P44" s="9" t="n">
        <x:v>0.6666666666666666</x:v>
      </x:c>
      <x:c r="Q44" s="4"/>
      <x:c r="R44" s="4" t="str">
        <x:v>项目名称/框架的明确功能定位；未逐一在线核验README</x:v>
      </x:c>
      <x:c r="S44" s="4" t="str">
        <x:v>GitHub月榜24-26</x:v>
      </x:c>
      <x:c r="T44" s="4" t="n">
        <x:v>42</x:v>
      </x:c>
      <x:c r="U44" s="4" t="str">
        <x:v>https://github.com/FlowiseAI/Flowise</x:v>
      </x:c>
      <x:c r="V44" s="4" t="str">
        <x:v>flowiseai/flowise</x:v>
      </x:c>
    </x:row>
    <x:row r="45" ht="44" customHeight="1">
      <x:c r="A45" s="4" t="n">
        <x:v>40</x:v>
      </x:c>
      <x:c r="B45" s="4" t="str">
        <x:v>Flowseal/zapret-discord-youtube</x:v>
      </x:c>
      <x:c r="C45" s="4" t="n">
        <x:v>3</x:v>
      </x:c>
      <x:c r="D45" s="4" t="str">
        <x:v>网络与通信协议</x:v>
      </x:c>
      <x:c r="E45" s="4" t="str">
        <x:v>本地证据分类</x:v>
      </x:c>
      <x:c r="F45" s="4" t="n">
        <x:v>1</x:v>
      </x:c>
      <x:c r="G45" s="4" t="str">
        <x:v>软件项目</x:v>
      </x:c>
      <x:c r="H45" s="4" t="str">
        <x:v>网络通信</x:v>
      </x:c>
      <x:c r="I45" s="4" t="str">
        <x:v>当前页面未列入</x:v>
      </x:c>
      <x:c r="J45" s="4" t="str">
        <x:v>未记录</x:v>
      </x:c>
      <x:c r="K45" s="4" t="str">
        <x:v>未获取</x:v>
      </x:c>
      <x:c r="L45" s="4" t="str">
        <x:v>未记录</x:v>
      </x:c>
      <x:c r="M45" s="4" t="n">
        <x:v>0</x:v>
      </x:c>
      <x:c r="N45" s="4"/>
      <x:c r="O45" s="4"/>
      <x:c r="P45" s="9"/>
      <x:c r="Q45" s="4"/>
      <x:c r="R45" s="4" t="str">
        <x:v>项目名称/框架的明确功能定位；未逐一在线核验README</x:v>
      </x:c>
      <x:c r="S45" s="4" t="str">
        <x:v>GitHub月榜24-26</x:v>
      </x:c>
      <x:c r="T45" s="4" t="n">
        <x:v>43</x:v>
      </x:c>
      <x:c r="U45" s="4" t="str">
        <x:v>https://github.com/Flowseal/zapret-discord-youtube</x:v>
      </x:c>
      <x:c r="V45" s="4" t="str">
        <x:v>flowseal/zapret-discord-youtube</x:v>
      </x:c>
    </x:row>
    <x:row r="46" ht="44" customHeight="1">
      <x:c r="A46" s="4" t="n">
        <x:v>41</x:v>
      </x:c>
      <x:c r="B46" s="4" t="str">
        <x:v>Free-TV/IPTV</x:v>
      </x:c>
      <x:c r="C46" s="4"/>
      <x:c r="D46" s="4" t="str">
        <x:v>未归入15类</x:v>
      </x:c>
      <x:c r="E46" s="4" t="str">
        <x:v>范围排除</x:v>
      </x:c>
      <x:c r="F46" s="4" t="n">
        <x:v>0</x:v>
      </x:c>
      <x:c r="G46" s="4" t="str">
        <x:v>教程/资源/技能资产</x:v>
      </x:c>
      <x:c r="H46" s="4" t="str">
        <x:v>知识/数据资产</x:v>
      </x:c>
      <x:c r="I46" s="4" t="str">
        <x:v>当前页面未列入</x:v>
      </x:c>
      <x:c r="J46" s="4" t="str">
        <x:v>未记录</x:v>
      </x:c>
      <x:c r="K46" s="4" t="str">
        <x:v>未获取</x:v>
      </x:c>
      <x:c r="L46" s="4" t="str">
        <x:v>未记录</x:v>
      </x:c>
      <x:c r="M46" s="4" t="n">
        <x:v>0</x:v>
      </x:c>
      <x:c r="N46" s="4"/>
      <x:c r="O46" s="4"/>
      <x:c r="P46" s="9"/>
      <x:c r="Q46" s="4"/>
      <x:c r="R46" s="4" t="str">
        <x:v>按项目名称与已获取定位识别为知识、数据或技能资源；非独立软件能力证据</x:v>
      </x:c>
      <x:c r="S46" s="4" t="str">
        <x:v>GitHub月榜24-26</x:v>
      </x:c>
      <x:c r="T46" s="4" t="n">
        <x:v>44</x:v>
      </x:c>
      <x:c r="U46" s="4" t="str">
        <x:v>https://github.com/Free-TV/IPTV</x:v>
      </x:c>
      <x:c r="V46" s="4" t="str">
        <x:v>free-tv/iptv</x:v>
      </x:c>
    </x:row>
    <x:row r="47" ht="44" customHeight="1">
      <x:c r="A47" s="4" t="n">
        <x:v>42</x:v>
      </x:c>
      <x:c r="B47" s="4" t="str">
        <x:v>FreeTubeApp/FreeTube</x:v>
      </x:c>
      <x:c r="C47" s="4" t="n">
        <x:v>9</x:v>
      </x:c>
      <x:c r="D47" s="4" t="str">
        <x:v>图形、多媒体与实时应用</x:v>
      </x:c>
      <x:c r="E47" s="4" t="str">
        <x:v>本地证据分类</x:v>
      </x:c>
      <x:c r="F47" s="4" t="n">
        <x:v>1</x:v>
      </x:c>
      <x:c r="G47" s="4" t="str">
        <x:v>软件项目</x:v>
      </x:c>
      <x:c r="H47" s="4" t="str">
        <x:v>媒体/图形</x:v>
      </x:c>
      <x:c r="I47" s="4" t="str">
        <x:v>Web 与业务服务</x:v>
      </x:c>
      <x:c r="J47" s="4" t="str">
        <x:v>JavaScript/TypeScript</x:v>
      </x:c>
      <x:c r="K47" s="4" t="str">
        <x:v>未获取</x:v>
      </x:c>
      <x:c r="L47" s="4" t="str">
        <x:v>未记录</x:v>
      </x:c>
      <x:c r="M47" s="4" t="n">
        <x:v>42</x:v>
      </x:c>
      <x:c r="N47" s="4" t="n">
        <x:v>42</x:v>
      </x:c>
      <x:c r="O47" s="4" t="n">
        <x:v>33</x:v>
      </x:c>
      <x:c r="P47" s="9" t="n">
        <x:v>0.7857142857142857</x:v>
      </x:c>
      <x:c r="Q47" s="4"/>
      <x:c r="R47" s="4" t="str">
        <x:v>项目名称/框架的明确功能定位；未逐一在线核验README</x:v>
      </x:c>
      <x:c r="S47" s="4" t="str">
        <x:v>GitHub月榜24-26</x:v>
      </x:c>
      <x:c r="T47" s="4" t="n">
        <x:v>45</x:v>
      </x:c>
      <x:c r="U47" s="4" t="str">
        <x:v>https://github.com/FreeTubeApp/FreeTube</x:v>
      </x:c>
      <x:c r="V47" s="4" t="str">
        <x:v>freetubeapp/freetube</x:v>
      </x:c>
    </x:row>
    <x:row r="48" ht="44" customHeight="1">
      <x:c r="A48" s="4" t="n">
        <x:v>43</x:v>
      </x:c>
      <x:c r="B48" s="4" t="str">
        <x:v>FuelLabs/fuel-core</x:v>
      </x:c>
      <x:c r="C48" s="4"/>
      <x:c r="D48" s="4" t="str">
        <x:v>未归入15类</x:v>
      </x:c>
      <x:c r="E48" s="4" t="str">
        <x:v>范围待决</x:v>
      </x:c>
      <x:c r="F48" s="4" t="n">
        <x:v>1</x:v>
      </x:c>
      <x:c r="G48" s="4" t="str">
        <x:v>软件项目</x:v>
      </x:c>
      <x:c r="H48" s="4" t="str">
        <x:v>区块链/分布式信任</x:v>
      </x:c>
      <x:c r="I48" s="4" t="str">
        <x:v>当前页面未列入</x:v>
      </x:c>
      <x:c r="J48" s="4" t="str">
        <x:v>未记录</x:v>
      </x:c>
      <x:c r="K48" s="4" t="str">
        <x:v>未获取</x:v>
      </x:c>
      <x:c r="L48" s="4" t="str">
        <x:v>未记录</x:v>
      </x:c>
      <x:c r="M48" s="4" t="n">
        <x:v>0</x:v>
      </x:c>
      <x:c r="N48" s="4"/>
      <x:c r="O48" s="4"/>
      <x:c r="P48" s="9"/>
      <x:c r="Q48" s="4"/>
      <x:c r="R48" s="4" t="str">
        <x:v>设备控制、机器人或区块链具有独立领域语义，当前15类需跨类组合及行业标签</x:v>
      </x:c>
      <x:c r="S48" s="4" t="str">
        <x:v>GitHub月榜24-26</x:v>
      </x:c>
      <x:c r="T48" s="4" t="n">
        <x:v>46</x:v>
      </x:c>
      <x:c r="U48" s="4" t="str">
        <x:v>https://github.com/FuelLabs/fuel-core</x:v>
      </x:c>
      <x:c r="V48" s="4" t="str">
        <x:v>fuellabs/fuel-core</x:v>
      </x:c>
    </x:row>
    <x:row r="49" ht="44" customHeight="1">
      <x:c r="A49" s="4" t="n">
        <x:v>44</x:v>
      </x:c>
      <x:c r="B49" s="4" t="str">
        <x:v>FuelLabs/sway</x:v>
      </x:c>
      <x:c r="C49" s="4" t="n">
        <x:v>14</x:v>
      </x:c>
      <x:c r="D49" s="4" t="str">
        <x:v>软件构建、开发与测试</x:v>
      </x:c>
      <x:c r="E49" s="4" t="str">
        <x:v>本地证据分类</x:v>
      </x:c>
      <x:c r="F49" s="4" t="n">
        <x:v>1</x:v>
      </x:c>
      <x:c r="G49" s="4" t="str">
        <x:v>软件项目</x:v>
      </x:c>
      <x:c r="H49" s="4" t="str">
        <x:v>软件工程/开发工具</x:v>
      </x:c>
      <x:c r="I49" s="4" t="str">
        <x:v>当前页面未列入</x:v>
      </x:c>
      <x:c r="J49" s="4" t="str">
        <x:v>未记录</x:v>
      </x:c>
      <x:c r="K49" s="4" t="str">
        <x:v>未获取</x:v>
      </x:c>
      <x:c r="L49" s="4" t="str">
        <x:v>未记录</x:v>
      </x:c>
      <x:c r="M49" s="4" t="n">
        <x:v>0</x:v>
      </x:c>
      <x:c r="N49" s="4"/>
      <x:c r="O49" s="4"/>
      <x:c r="P49" s="9"/>
      <x:c r="Q49" s="4"/>
      <x:c r="R49" s="4" t="str">
        <x:v>项目名称/框架的明确功能定位；未逐一在线核验README</x:v>
      </x:c>
      <x:c r="S49" s="4" t="str">
        <x:v>GitHub月榜24-26</x:v>
      </x:c>
      <x:c r="T49" s="4" t="n">
        <x:v>47</x:v>
      </x:c>
      <x:c r="U49" s="4" t="str">
        <x:v>https://github.com/FuelLabs/sway</x:v>
      </x:c>
      <x:c r="V49" s="4" t="str">
        <x:v>fuellabs/sway</x:v>
      </x:c>
    </x:row>
    <x:row r="50" ht="44" customHeight="1">
      <x:c r="A50" s="4" t="n">
        <x:v>45</x:v>
      </x:c>
      <x:c r="B50" s="4" t="str">
        <x:v>GeeeekExplorer/nano-vllm</x:v>
      </x:c>
      <x:c r="C50" s="4" t="n">
        <x:v>11</x:v>
      </x:c>
      <x:c r="D50" s="4" t="str">
        <x:v>AI模型与机器学习</x:v>
      </x:c>
      <x:c r="E50" s="4" t="str">
        <x:v>本地证据分类</x:v>
      </x:c>
      <x:c r="F50" s="4" t="n">
        <x:v>1</x:v>
      </x:c>
      <x:c r="G50" s="4" t="str">
        <x:v>软件项目</x:v>
      </x:c>
      <x:c r="H50" s="4" t="str">
        <x:v>AI模型/推理</x:v>
      </x:c>
      <x:c r="I50" s="4" t="str">
        <x:v>Agent 与 AI 应用</x:v>
      </x:c>
      <x:c r="J50" s="4" t="str">
        <x:v>Python</x:v>
      </x:c>
      <x:c r="K50" s="4" t="str">
        <x:v>未获取</x:v>
      </x:c>
      <x:c r="L50" s="4" t="str">
        <x:v>未记录</x:v>
      </x:c>
      <x:c r="M50" s="4" t="n">
        <x:v>5</x:v>
      </x:c>
      <x:c r="N50" s="4" t="n">
        <x:v>5</x:v>
      </x:c>
      <x:c r="O50" s="4" t="n">
        <x:v>3</x:v>
      </x:c>
      <x:c r="P50" s="9" t="n">
        <x:v>0.6</x:v>
      </x:c>
      <x:c r="Q50" s="4"/>
      <x:c r="R50" s="4" t="str">
        <x:v>项目名称/框架的明确功能定位；未逐一在线核验README</x:v>
      </x:c>
      <x:c r="S50" s="4" t="str">
        <x:v>GitHub月榜24-26</x:v>
      </x:c>
      <x:c r="T50" s="4" t="n">
        <x:v>48</x:v>
      </x:c>
      <x:c r="U50" s="4" t="str">
        <x:v>https://github.com/GeeeekExplorer/nano-vllm</x:v>
      </x:c>
      <x:c r="V50" s="4" t="str">
        <x:v>geeeekexplorer/nano-vllm</x:v>
      </x:c>
    </x:row>
    <x:row r="51" ht="44" customHeight="1">
      <x:c r="A51" s="4" t="n">
        <x:v>46</x:v>
      </x:c>
      <x:c r="B51" s="4" t="str">
        <x:v>GibsonAI/Memori</x:v>
      </x:c>
      <x:c r="C51" s="4" t="n">
        <x:v>13</x:v>
      </x:c>
      <x:c r="D51" s="4" t="str">
        <x:v>Agent编排与工具执行</x:v>
      </x:c>
      <x:c r="E51" s="4" t="str">
        <x:v>本地证据分类</x:v>
      </x:c>
      <x:c r="F51" s="4" t="n">
        <x:v>1</x:v>
      </x:c>
      <x:c r="G51" s="4" t="str">
        <x:v>软件项目</x:v>
      </x:c>
      <x:c r="H51" s="4" t="str">
        <x:v>Agent/模型与工具</x:v>
      </x:c>
      <x:c r="I51" s="4" t="str">
        <x:v>数据分析与科学计算</x:v>
      </x:c>
      <x:c r="J51" s="4" t="str">
        <x:v>Python</x:v>
      </x:c>
      <x:c r="K51" s="4" t="str">
        <x:v>未获取</x:v>
      </x:c>
      <x:c r="L51" s="4" t="str">
        <x:v>未记录</x:v>
      </x:c>
      <x:c r="M51" s="4" t="n">
        <x:v>8</x:v>
      </x:c>
      <x:c r="N51" s="4" t="n">
        <x:v>8</x:v>
      </x:c>
      <x:c r="O51" s="4" t="n">
        <x:v>6</x:v>
      </x:c>
      <x:c r="P51" s="9" t="n">
        <x:v>0.75</x:v>
      </x:c>
      <x:c r="Q51" s="4"/>
      <x:c r="R51" s="4" t="str">
        <x:v>项目名称/框架的明确功能定位；未逐一在线核验README</x:v>
      </x:c>
      <x:c r="S51" s="4" t="str">
        <x:v>GitHub月榜24-26</x:v>
      </x:c>
      <x:c r="T51" s="4" t="n">
        <x:v>49</x:v>
      </x:c>
      <x:c r="U51" s="4" t="str">
        <x:v>https://github.com/GibsonAI/Memori</x:v>
      </x:c>
      <x:c r="V51" s="4" t="str">
        <x:v>gibsonai/memori</x:v>
      </x:c>
    </x:row>
    <x:row r="52" ht="44" customHeight="1">
      <x:c r="A52" s="4" t="n">
        <x:v>47</x:v>
      </x:c>
      <x:c r="B52" s="4" t="str">
        <x:v>GoogleCloudPlatform/generative-ai</x:v>
      </x:c>
      <x:c r="C52" s="4"/>
      <x:c r="D52" s="4" t="str">
        <x:v>未归入15类</x:v>
      </x:c>
      <x:c r="E52" s="4" t="str">
        <x:v>范围排除</x:v>
      </x:c>
      <x:c r="F52" s="4" t="n">
        <x:v>0</x:v>
      </x:c>
      <x:c r="G52" s="4" t="str">
        <x:v>教程/资源/技能资产</x:v>
      </x:c>
      <x:c r="H52" s="4" t="str">
        <x:v>知识/数据资产</x:v>
      </x:c>
      <x:c r="I52" s="4" t="str">
        <x:v>当前页面未列入</x:v>
      </x:c>
      <x:c r="J52" s="4" t="str">
        <x:v>未记录</x:v>
      </x:c>
      <x:c r="K52" s="4" t="str">
        <x:v>未获取</x:v>
      </x:c>
      <x:c r="L52" s="4" t="str">
        <x:v>未记录</x:v>
      </x:c>
      <x:c r="M52" s="4" t="n">
        <x:v>0</x:v>
      </x:c>
      <x:c r="N52" s="4"/>
      <x:c r="O52" s="4"/>
      <x:c r="P52" s="9"/>
      <x:c r="Q52" s="4"/>
      <x:c r="R52" s="4" t="str">
        <x:v>按项目名称与已获取定位识别为知识、数据或技能资源；非独立软件能力证据</x:v>
      </x:c>
      <x:c r="S52" s="4" t="str">
        <x:v>GitHub月榜24-26</x:v>
      </x:c>
      <x:c r="T52" s="4" t="n">
        <x:v>50</x:v>
      </x:c>
      <x:c r="U52" s="4" t="str">
        <x:v>https://github.com/GoogleCloudPlatform/generative-ai</x:v>
      </x:c>
      <x:c r="V52" s="4" t="str">
        <x:v>googlecloudplatform/generative-ai</x:v>
      </x:c>
    </x:row>
    <x:row r="53" ht="44" customHeight="1">
      <x:c r="A53" s="4" t="n">
        <x:v>48</x:v>
      </x:c>
      <x:c r="B53" s="4" t="str">
        <x:v>GraphiteEditor/Graphite</x:v>
      </x:c>
      <x:c r="C53" s="4" t="n">
        <x:v>9</x:v>
      </x:c>
      <x:c r="D53" s="4" t="str">
        <x:v>图形、多媒体与实时应用</x:v>
      </x:c>
      <x:c r="E53" s="4" t="str">
        <x:v>本地证据分类</x:v>
      </x:c>
      <x:c r="F53" s="4" t="n">
        <x:v>1</x:v>
      </x:c>
      <x:c r="G53" s="4" t="str">
        <x:v>软件项目</x:v>
      </x:c>
      <x:c r="H53" s="4" t="str">
        <x:v>媒体/图形</x:v>
      </x:c>
      <x:c r="I53" s="4" t="str">
        <x:v>当前页面未列入</x:v>
      </x:c>
      <x:c r="J53" s="4" t="str">
        <x:v>未记录</x:v>
      </x:c>
      <x:c r="K53" s="4" t="str">
        <x:v>未获取</x:v>
      </x:c>
      <x:c r="L53" s="4" t="str">
        <x:v>未记录</x:v>
      </x:c>
      <x:c r="M53" s="4" t="n">
        <x:v>0</x:v>
      </x:c>
      <x:c r="N53" s="4"/>
      <x:c r="O53" s="4"/>
      <x:c r="P53" s="9"/>
      <x:c r="Q53" s="4"/>
      <x:c r="R53" s="4" t="str">
        <x:v>项目名称/框架的明确功能定位；未逐一在线核验README</x:v>
      </x:c>
      <x:c r="S53" s="4" t="str">
        <x:v>GitHub月榜24-26</x:v>
      </x:c>
      <x:c r="T53" s="4" t="n">
        <x:v>51</x:v>
      </x:c>
      <x:c r="U53" s="4" t="str">
        <x:v>https://github.com/GraphiteEditor/Graphite</x:v>
      </x:c>
      <x:c r="V53" s="4" t="str">
        <x:v>graphiteeditor/graphite</x:v>
      </x:c>
    </x:row>
    <x:row r="54" ht="44" customHeight="1">
      <x:c r="A54" s="4" t="n">
        <x:v>49</x:v>
      </x:c>
      <x:c r="B54" s="4" t="str">
        <x:v>GyulyVGC/sniffnet</x:v>
      </x:c>
      <x:c r="C54" s="4" t="n">
        <x:v>3</x:v>
      </x:c>
      <x:c r="D54" s="4" t="str">
        <x:v>网络与通信协议</x:v>
      </x:c>
      <x:c r="E54" s="4" t="str">
        <x:v>本地证据分类</x:v>
      </x:c>
      <x:c r="F54" s="4" t="n">
        <x:v>1</x:v>
      </x:c>
      <x:c r="G54" s="4" t="str">
        <x:v>软件项目</x:v>
      </x:c>
      <x:c r="H54" s="4" t="str">
        <x:v>网络通信</x:v>
      </x:c>
      <x:c r="I54" s="4" t="str">
        <x:v>行业与其他应用</x:v>
      </x:c>
      <x:c r="J54" s="4" t="str">
        <x:v>Rust</x:v>
      </x:c>
      <x:c r="K54" s="4" t="str">
        <x:v>未获取</x:v>
      </x:c>
      <x:c r="L54" s="4" t="str">
        <x:v>未记录</x:v>
      </x:c>
      <x:c r="M54" s="4" t="n">
        <x:v>34</x:v>
      </x:c>
      <x:c r="N54" s="4" t="n">
        <x:v>34</x:v>
      </x:c>
      <x:c r="O54" s="4" t="n">
        <x:v>2</x:v>
      </x:c>
      <x:c r="P54" s="9" t="n">
        <x:v>0.058823529411764705</x:v>
      </x:c>
      <x:c r="Q54" s="4"/>
      <x:c r="R54" s="4" t="str">
        <x:v>项目名称/框架的明确功能定位；未逐一在线核验README</x:v>
      </x:c>
      <x:c r="S54" s="4" t="str">
        <x:v>GitHub月榜24-26</x:v>
      </x:c>
      <x:c r="T54" s="4" t="n">
        <x:v>52</x:v>
      </x:c>
      <x:c r="U54" s="4" t="str">
        <x:v>https://github.com/GyulyVGC/sniffnet</x:v>
      </x:c>
      <x:c r="V54" s="4" t="str">
        <x:v>gyulyvgc/sniffnet</x:v>
      </x:c>
    </x:row>
    <x:row r="55" ht="44" customHeight="1">
      <x:c r="A55" s="4" t="n">
        <x:v>50</x:v>
      </x:c>
      <x:c r="B55" s="4" t="str">
        <x:v>HKUDS/DeepTutor</x:v>
      </x:c>
      <x:c r="C55" s="4" t="n">
        <x:v>13</x:v>
      </x:c>
      <x:c r="D55" s="4" t="str">
        <x:v>Agent编排与工具执行</x:v>
      </x:c>
      <x:c r="E55" s="4" t="str">
        <x:v>本地证据分类</x:v>
      </x:c>
      <x:c r="F55" s="4" t="n">
        <x:v>1</x:v>
      </x:c>
      <x:c r="G55" s="4" t="str">
        <x:v>软件项目</x:v>
      </x:c>
      <x:c r="H55" s="4" t="str">
        <x:v>Agent/模型与工具</x:v>
      </x:c>
      <x:c r="I55" s="4" t="str">
        <x:v>办公文档与知识管理</x:v>
      </x:c>
      <x:c r="J55" s="4" t="str">
        <x:v>Python</x:v>
      </x:c>
      <x:c r="K55" s="4" t="str">
        <x:v>未获取</x:v>
      </x:c>
      <x:c r="L55" s="4" t="str">
        <x:v>未记录</x:v>
      </x:c>
      <x:c r="M55" s="4" t="n">
        <x:v>51</x:v>
      </x:c>
      <x:c r="N55" s="4" t="n">
        <x:v>51</x:v>
      </x:c>
      <x:c r="O55" s="4" t="n">
        <x:v>37</x:v>
      </x:c>
      <x:c r="P55" s="9" t="n">
        <x:v>0.7254901960784313</x:v>
      </x:c>
      <x:c r="Q55" s="4"/>
      <x:c r="R55" s="4" t="str">
        <x:v>项目名称/框架的明确功能定位；未逐一在线核验README</x:v>
      </x:c>
      <x:c r="S55" s="4" t="str">
        <x:v>GitHub月榜24-26</x:v>
      </x:c>
      <x:c r="T55" s="4" t="n">
        <x:v>53</x:v>
      </x:c>
      <x:c r="U55" s="4" t="str">
        <x:v>https://github.com/HKUDS/DeepTutor</x:v>
      </x:c>
      <x:c r="V55" s="4" t="str">
        <x:v>hkuds/deeptutor</x:v>
      </x:c>
    </x:row>
    <x:row r="56" ht="44" customHeight="1">
      <x:c r="A56" s="4" t="n">
        <x:v>51</x:v>
      </x:c>
      <x:c r="B56" s="4" t="str">
        <x:v>HKUDS/LightRAG</x:v>
      </x:c>
      <x:c r="C56" s="4" t="n">
        <x:v>13</x:v>
      </x:c>
      <x:c r="D56" s="4" t="str">
        <x:v>Agent编排与工具执行</x:v>
      </x:c>
      <x:c r="E56" s="4" t="str">
        <x:v>本地证据分类</x:v>
      </x:c>
      <x:c r="F56" s="4" t="n">
        <x:v>1</x:v>
      </x:c>
      <x:c r="G56" s="4" t="str">
        <x:v>软件项目</x:v>
      </x:c>
      <x:c r="H56" s="4" t="str">
        <x:v>Agent/模型与工具</x:v>
      </x:c>
      <x:c r="I56" s="4" t="str">
        <x:v>数据分析与科学计算</x:v>
      </x:c>
      <x:c r="J56" s="4" t="str">
        <x:v>Python</x:v>
      </x:c>
      <x:c r="K56" s="4" t="str">
        <x:v>未获取</x:v>
      </x:c>
      <x:c r="L56" s="4" t="str">
        <x:v>未记录</x:v>
      </x:c>
      <x:c r="M56" s="4" t="n">
        <x:v>18</x:v>
      </x:c>
      <x:c r="N56" s="4" t="n">
        <x:v>18</x:v>
      </x:c>
      <x:c r="O56" s="4" t="n">
        <x:v>15</x:v>
      </x:c>
      <x:c r="P56" s="9" t="n">
        <x:v>0.8333333333333334</x:v>
      </x:c>
      <x:c r="Q56" s="4"/>
      <x:c r="R56" s="4" t="str">
        <x:v>项目名称/框架的明确功能定位；未逐一在线核验README</x:v>
      </x:c>
      <x:c r="S56" s="4" t="str">
        <x:v>GitHub月榜24-26</x:v>
      </x:c>
      <x:c r="T56" s="4" t="n">
        <x:v>54</x:v>
      </x:c>
      <x:c r="U56" s="4" t="str">
        <x:v>https://github.com/HKUDS/LightRAG</x:v>
      </x:c>
      <x:c r="V56" s="4" t="str">
        <x:v>hkuds/lightrag</x:v>
      </x:c>
    </x:row>
    <x:row r="57" ht="44" customHeight="1">
      <x:c r="A57" s="4" t="n">
        <x:v>52</x:v>
      </x:c>
      <x:c r="B57" s="4" t="str">
        <x:v>HKUDS/Vibe-Trading</x:v>
      </x:c>
      <x:c r="C57" s="4" t="n">
        <x:v>13</x:v>
      </x:c>
      <x:c r="D57" s="4" t="str">
        <x:v>Agent编排与工具执行</x:v>
      </x:c>
      <x:c r="E57" s="4" t="str">
        <x:v>本地证据分类</x:v>
      </x:c>
      <x:c r="F57" s="4" t="n">
        <x:v>1</x:v>
      </x:c>
      <x:c r="G57" s="4" t="str">
        <x:v>软件项目</x:v>
      </x:c>
      <x:c r="H57" s="4" t="str">
        <x:v>Agent/模型与工具</x:v>
      </x:c>
      <x:c r="I57" s="4" t="str">
        <x:v>数据分析与科学计算</x:v>
      </x:c>
      <x:c r="J57" s="4" t="str">
        <x:v>Python</x:v>
      </x:c>
      <x:c r="K57" s="4" t="str">
        <x:v>未获取</x:v>
      </x:c>
      <x:c r="L57" s="4" t="str">
        <x:v>未记录</x:v>
      </x:c>
      <x:c r="M57" s="4" t="n">
        <x:v>44</x:v>
      </x:c>
      <x:c r="N57" s="4" t="n">
        <x:v>44</x:v>
      </x:c>
      <x:c r="O57" s="4" t="n">
        <x:v>31</x:v>
      </x:c>
      <x:c r="P57" s="9" t="n">
        <x:v>0.7045454545454546</x:v>
      </x:c>
      <x:c r="Q57" s="4"/>
      <x:c r="R57" s="4" t="str">
        <x:v>项目名称/框架的明确功能定位；未逐一在线核验README</x:v>
      </x:c>
      <x:c r="S57" s="4" t="str">
        <x:v>GitHub月榜24-26</x:v>
      </x:c>
      <x:c r="T57" s="4" t="n">
        <x:v>55</x:v>
      </x:c>
      <x:c r="U57" s="4" t="str">
        <x:v>https://github.com/HKUDS/Vibe-Trading</x:v>
      </x:c>
      <x:c r="V57" s="4" t="str">
        <x:v>hkuds/vibe-trading</x:v>
      </x:c>
    </x:row>
    <x:row r="58" ht="44" customHeight="1">
      <x:c r="A58" s="4" t="n">
        <x:v>53</x:v>
      </x:c>
      <x:c r="B58" s="4" t="str">
        <x:v>Hmbown/DeepSeek-TUI</x:v>
      </x:c>
      <x:c r="C58" s="4"/>
      <x:c r="D58" s="4" t="str">
        <x:v>未归入15类</x:v>
      </x:c>
      <x:c r="E58" s="4" t="str">
        <x:v>信息不足</x:v>
      </x:c>
      <x:c r="F58" s="4" t="n">
        <x:v>1</x:v>
      </x:c>
      <x:c r="G58" s="4" t="str">
        <x:v>待确认项目</x:v>
      </x:c>
      <x:c r="H58" s="4" t="str"/>
      <x:c r="I58" s="4" t="str">
        <x:v>桌面、TUI 与跨端应用</x:v>
      </x:c>
      <x:c r="J58" s="4" t="str">
        <x:v>JavaScript/TypeScript</x:v>
      </x:c>
      <x:c r="K58" s="4" t="str">
        <x:v>未获取</x:v>
      </x:c>
      <x:c r="L58" s="4" t="str">
        <x:v>未记录</x:v>
      </x:c>
      <x:c r="M58" s="4" t="n">
        <x:v>1</x:v>
      </x:c>
      <x:c r="N58" s="4" t="n">
        <x:v>1</x:v>
      </x:c>
      <x:c r="O58" s="4" t="n">
        <x:v>0</x:v>
      </x:c>
      <x:c r="P58" s="9" t="n">
        <x:v>0</x:v>
      </x:c>
      <x:c r="Q58" s="4"/>
      <x:c r="R58" s="4" t="str">
        <x:v>缺少明确功能描述，不按依赖或语言强行归类</x:v>
      </x:c>
      <x:c r="S58" s="4" t="str">
        <x:v>GitHub月榜24-26</x:v>
      </x:c>
      <x:c r="T58" s="4" t="n">
        <x:v>56</x:v>
      </x:c>
      <x:c r="U58" s="4" t="str">
        <x:v>https://github.com/Hmbown/DeepSeek-TUI</x:v>
      </x:c>
      <x:c r="V58" s="4" t="str">
        <x:v>hmbown/deepseek-tui</x:v>
      </x:c>
    </x:row>
    <x:row r="59" ht="44" customHeight="1">
      <x:c r="A59" s="4" t="n">
        <x:v>54</x:v>
      </x:c>
      <x:c r="B59" s="4" t="str">
        <x:v>Huanshere/VideoLingo</x:v>
      </x:c>
      <x:c r="C59" s="4" t="n">
        <x:v>9</x:v>
      </x:c>
      <x:c r="D59" s="4" t="str">
        <x:v>图形、多媒体与实时应用</x:v>
      </x:c>
      <x:c r="E59" s="4" t="str">
        <x:v>本地证据分类</x:v>
      </x:c>
      <x:c r="F59" s="4" t="n">
        <x:v>1</x:v>
      </x:c>
      <x:c r="G59" s="4" t="str">
        <x:v>软件项目</x:v>
      </x:c>
      <x:c r="H59" s="4" t="str">
        <x:v>媒体/图形</x:v>
      </x:c>
      <x:c r="I59" s="4" t="str">
        <x:v>多媒体与图形</x:v>
      </x:c>
      <x:c r="J59" s="4" t="str">
        <x:v>Python</x:v>
      </x:c>
      <x:c r="K59" s="4" t="str">
        <x:v>未获取</x:v>
      </x:c>
      <x:c r="L59" s="4" t="str">
        <x:v>未记录</x:v>
      </x:c>
      <x:c r="M59" s="4" t="n">
        <x:v>31</x:v>
      </x:c>
      <x:c r="N59" s="4" t="n">
        <x:v>31</x:v>
      </x:c>
      <x:c r="O59" s="4" t="n">
        <x:v>19</x:v>
      </x:c>
      <x:c r="P59" s="9" t="n">
        <x:v>0.6129032258064516</x:v>
      </x:c>
      <x:c r="Q59" s="4"/>
      <x:c r="R59" s="4" t="str">
        <x:v>项目名称/框架的明确功能定位；未逐一在线核验README</x:v>
      </x:c>
      <x:c r="S59" s="4" t="str">
        <x:v>GitHub月榜24-26</x:v>
      </x:c>
      <x:c r="T59" s="4" t="n">
        <x:v>57</x:v>
      </x:c>
      <x:c r="U59" s="4" t="str">
        <x:v>https://github.com/Huanshere/VideoLingo</x:v>
      </x:c>
      <x:c r="V59" s="4" t="str">
        <x:v>huanshere/videolingo</x:v>
      </x:c>
    </x:row>
    <x:row r="60" ht="44" customHeight="1">
      <x:c r="A60" s="4" t="n">
        <x:v>55</x:v>
      </x:c>
      <x:c r="B60" s="4" t="str">
        <x:v>Imbad0202/academic-research-skills</x:v>
      </x:c>
      <x:c r="C60" s="4"/>
      <x:c r="D60" s="4" t="str">
        <x:v>未归入15类</x:v>
      </x:c>
      <x:c r="E60" s="4" t="str">
        <x:v>范围排除</x:v>
      </x:c>
      <x:c r="F60" s="4" t="n">
        <x:v>0</x:v>
      </x:c>
      <x:c r="G60" s="4" t="str">
        <x:v>教程/资源/技能资产</x:v>
      </x:c>
      <x:c r="H60" s="4" t="str">
        <x:v>Agent资源（不等于运行时）</x:v>
      </x:c>
      <x:c r="I60" s="4" t="str">
        <x:v>当前页面未列入</x:v>
      </x:c>
      <x:c r="J60" s="4" t="str">
        <x:v>未记录</x:v>
      </x:c>
      <x:c r="K60" s="4" t="str">
        <x:v>未获取</x:v>
      </x:c>
      <x:c r="L60" s="4" t="str">
        <x:v>未记录</x:v>
      </x:c>
      <x:c r="M60" s="4" t="n">
        <x:v>0</x:v>
      </x:c>
      <x:c r="N60" s="4"/>
      <x:c r="O60" s="4"/>
      <x:c r="P60" s="9"/>
      <x:c r="Q60" s="4"/>
      <x:c r="R60" s="4" t="str">
        <x:v>按项目名称与已获取定位识别为知识、数据或技能资源；非独立软件能力证据</x:v>
      </x:c>
      <x:c r="S60" s="4" t="str">
        <x:v>GitHub月榜24-26</x:v>
      </x:c>
      <x:c r="T60" s="4" t="n">
        <x:v>58</x:v>
      </x:c>
      <x:c r="U60" s="4" t="str">
        <x:v>https://github.com/Imbad0202/academic-research-skills</x:v>
      </x:c>
      <x:c r="V60" s="4" t="str">
        <x:v>imbad0202/academic-research-skills</x:v>
      </x:c>
    </x:row>
    <x:row r="61" ht="44" customHeight="1">
      <x:c r="A61" s="4" t="n">
        <x:v>56</x:v>
      </x:c>
      <x:c r="B61" s="4" t="str">
        <x:v>Infisical/infisical</x:v>
      </x:c>
      <x:c r="C61" s="4" t="n">
        <x:v>4</x:v>
      </x:c>
      <x:c r="D61" s="4" t="str">
        <x:v>安全与身份认证</x:v>
      </x:c>
      <x:c r="E61" s="4" t="str">
        <x:v>本地证据分类</x:v>
      </x:c>
      <x:c r="F61" s="4" t="n">
        <x:v>1</x:v>
      </x:c>
      <x:c r="G61" s="4" t="str">
        <x:v>软件项目</x:v>
      </x:c>
      <x:c r="H61" s="4" t="str">
        <x:v>安全审计</x:v>
      </x:c>
      <x:c r="I61" s="4" t="str">
        <x:v>行业与其他应用</x:v>
      </x:c>
      <x:c r="J61" s="4" t="str">
        <x:v>JavaScript/TypeScript</x:v>
      </x:c>
      <x:c r="K61" s="4" t="str">
        <x:v>未获取</x:v>
      </x:c>
      <x:c r="L61" s="4" t="str">
        <x:v>未记录</x:v>
      </x:c>
      <x:c r="M61" s="4" t="n">
        <x:v>1</x:v>
      </x:c>
      <x:c r="N61" s="4" t="n">
        <x:v>1</x:v>
      </x:c>
      <x:c r="O61" s="4" t="n">
        <x:v>1</x:v>
      </x:c>
      <x:c r="P61" s="9" t="n">
        <x:v>1</x:v>
      </x:c>
      <x:c r="Q61" s="4"/>
      <x:c r="R61" s="4" t="str">
        <x:v>项目名称/框架的明确功能定位；未逐一在线核验README</x:v>
      </x:c>
      <x:c r="S61" s="4" t="str">
        <x:v>GitHub月榜24-26</x:v>
      </x:c>
      <x:c r="T61" s="4" t="n">
        <x:v>59</x:v>
      </x:c>
      <x:c r="U61" s="4" t="str">
        <x:v>https://github.com/Infisical/infisical</x:v>
      </x:c>
      <x:c r="V61" s="4" t="str">
        <x:v>infisical/infisical</x:v>
      </x:c>
    </x:row>
    <x:row r="62" ht="44" customHeight="1">
      <x:c r="A62" s="4" t="n">
        <x:v>57</x:v>
      </x:c>
      <x:c r="B62" s="4" t="str">
        <x:v>JCodesMore/ai-website-cloner-template</x:v>
      </x:c>
      <x:c r="C62" s="4" t="n">
        <x:v>14</x:v>
      </x:c>
      <x:c r="D62" s="4" t="str">
        <x:v>软件构建、开发与测试</x:v>
      </x:c>
      <x:c r="E62" s="4" t="str">
        <x:v>本地证据分类</x:v>
      </x:c>
      <x:c r="F62" s="4" t="n">
        <x:v>1</x:v>
      </x:c>
      <x:c r="G62" s="4" t="str">
        <x:v>软件项目</x:v>
      </x:c>
      <x:c r="H62" s="4" t="str">
        <x:v>软件工程；编程Agent需额外挂13标签</x:v>
      </x:c>
      <x:c r="I62" s="4" t="str">
        <x:v>Web 与业务服务</x:v>
      </x:c>
      <x:c r="J62" s="4" t="str">
        <x:v>JavaScript/TypeScript</x:v>
      </x:c>
      <x:c r="K62" s="4" t="str">
        <x:v>未获取</x:v>
      </x:c>
      <x:c r="L62" s="4" t="str">
        <x:v>未记录</x:v>
      </x:c>
      <x:c r="M62" s="4" t="n">
        <x:v>9</x:v>
      </x:c>
      <x:c r="N62" s="4" t="n">
        <x:v>9</x:v>
      </x:c>
      <x:c r="O62" s="4" t="n">
        <x:v>6</x:v>
      </x:c>
      <x:c r="P62" s="9" t="n">
        <x:v>0.6666666666666666</x:v>
      </x:c>
      <x:c r="Q62" s="4"/>
      <x:c r="R62" s="4" t="str">
        <x:v>项目名称/框架的明确功能定位；未逐一在线核验README</x:v>
      </x:c>
      <x:c r="S62" s="4" t="str">
        <x:v>GitHub月榜24-26</x:v>
      </x:c>
      <x:c r="T62" s="4" t="n">
        <x:v>60</x:v>
      </x:c>
      <x:c r="U62" s="4" t="str">
        <x:v>https://github.com/JCodesMore/ai-website-cloner-template</x:v>
      </x:c>
      <x:c r="V62" s="4" t="str">
        <x:v>jcodesmore/ai-website-cloner-template</x:v>
      </x:c>
    </x:row>
    <x:row r="63" ht="44" customHeight="1">
      <x:c r="A63" s="4" t="n">
        <x:v>58</x:v>
      </x:c>
      <x:c r="B63" s="4" t="str">
        <x:v>JuliusBrussee/caveman</x:v>
      </x:c>
      <x:c r="C63" s="4"/>
      <x:c r="D63" s="4" t="str">
        <x:v>未归入15类</x:v>
      </x:c>
      <x:c r="E63" s="4" t="str">
        <x:v>信息不足</x:v>
      </x:c>
      <x:c r="F63" s="4" t="n">
        <x:v>1</x:v>
      </x:c>
      <x:c r="G63" s="4" t="str">
        <x:v>待确认项目</x:v>
      </x:c>
      <x:c r="H63" s="4" t="str"/>
      <x:c r="I63" s="4" t="str">
        <x:v>当前页面未列入</x:v>
      </x:c>
      <x:c r="J63" s="4" t="str">
        <x:v>未记录</x:v>
      </x:c>
      <x:c r="K63" s="4" t="str">
        <x:v>未获取</x:v>
      </x:c>
      <x:c r="L63" s="4" t="str">
        <x:v>未记录</x:v>
      </x:c>
      <x:c r="M63" s="4" t="n">
        <x:v>0</x:v>
      </x:c>
      <x:c r="N63" s="4"/>
      <x:c r="O63" s="4"/>
      <x:c r="P63" s="9"/>
      <x:c r="Q63" s="4"/>
      <x:c r="R63" s="4" t="str">
        <x:v>缺少明确功能描述，不按依赖或语言强行归类</x:v>
      </x:c>
      <x:c r="S63" s="4" t="str">
        <x:v>GitHub月榜24-26</x:v>
      </x:c>
      <x:c r="T63" s="4" t="n">
        <x:v>61</x:v>
      </x:c>
      <x:c r="U63" s="4" t="str">
        <x:v>https://github.com/JuliusBrussee/caveman</x:v>
      </x:c>
      <x:c r="V63" s="4" t="str">
        <x:v>juliusbrussee/caveman</x:v>
      </x:c>
    </x:row>
    <x:row r="64" ht="44" customHeight="1">
      <x:c r="A64" s="4" t="n">
        <x:v>59</x:v>
      </x:c>
      <x:c r="B64" s="4" t="str">
        <x:v>K-Dense-AI/claude-scientific-skills</x:v>
      </x:c>
      <x:c r="C64" s="4"/>
      <x:c r="D64" s="4" t="str">
        <x:v>未归入15类</x:v>
      </x:c>
      <x:c r="E64" s="4" t="str">
        <x:v>范围排除</x:v>
      </x:c>
      <x:c r="F64" s="4" t="n">
        <x:v>0</x:v>
      </x:c>
      <x:c r="G64" s="4" t="str">
        <x:v>教程/资源/技能资产</x:v>
      </x:c>
      <x:c r="H64" s="4" t="str">
        <x:v>Agent资源（不等于运行时）</x:v>
      </x:c>
      <x:c r="I64" s="4" t="str">
        <x:v>当前页面未列入</x:v>
      </x:c>
      <x:c r="J64" s="4" t="str">
        <x:v>未记录</x:v>
      </x:c>
      <x:c r="K64" s="4" t="str">
        <x:v>未获取</x:v>
      </x:c>
      <x:c r="L64" s="4" t="str">
        <x:v>未记录</x:v>
      </x:c>
      <x:c r="M64" s="4" t="n">
        <x:v>0</x:v>
      </x:c>
      <x:c r="N64" s="4"/>
      <x:c r="O64" s="4"/>
      <x:c r="P64" s="9"/>
      <x:c r="Q64" s="4"/>
      <x:c r="R64" s="4" t="str">
        <x:v>按项目名称与已获取定位识别为知识、数据或技能资源；非独立软件能力证据</x:v>
      </x:c>
      <x:c r="S64" s="4" t="str">
        <x:v>GitHub月榜24-26</x:v>
      </x:c>
      <x:c r="T64" s="4" t="n">
        <x:v>62</x:v>
      </x:c>
      <x:c r="U64" s="4" t="str">
        <x:v>https://github.com/K-Dense-AI/claude-scientific-skills</x:v>
      </x:c>
      <x:c r="V64" s="4" t="str">
        <x:v>k-dense-ai/claude-scientific-skills</x:v>
      </x:c>
    </x:row>
    <x:row r="65" ht="44" customHeight="1">
      <x:c r="A65" s="4" t="n">
        <x:v>60</x:v>
      </x:c>
      <x:c r="B65" s="4" t="str">
        <x:v>KRTirtho/spotube</x:v>
      </x:c>
      <x:c r="C65" s="4" t="n">
        <x:v>9</x:v>
      </x:c>
      <x:c r="D65" s="4" t="str">
        <x:v>图形、多媒体与实时应用</x:v>
      </x:c>
      <x:c r="E65" s="4" t="str">
        <x:v>本地证据分类</x:v>
      </x:c>
      <x:c r="F65" s="4" t="n">
        <x:v>1</x:v>
      </x:c>
      <x:c r="G65" s="4" t="str">
        <x:v>软件项目</x:v>
      </x:c>
      <x:c r="H65" s="4" t="str">
        <x:v>媒体/图形</x:v>
      </x:c>
      <x:c r="I65" s="4" t="str">
        <x:v>当前页面未列入</x:v>
      </x:c>
      <x:c r="J65" s="4" t="str">
        <x:v>未记录</x:v>
      </x:c>
      <x:c r="K65" s="4" t="str">
        <x:v>未获取</x:v>
      </x:c>
      <x:c r="L65" s="4" t="str">
        <x:v>未记录</x:v>
      </x:c>
      <x:c r="M65" s="4" t="n">
        <x:v>0</x:v>
      </x:c>
      <x:c r="N65" s="4"/>
      <x:c r="O65" s="4"/>
      <x:c r="P65" s="9"/>
      <x:c r="Q65" s="4"/>
      <x:c r="R65" s="4" t="str">
        <x:v>项目名称/框架的明确功能定位；未逐一在线核验README</x:v>
      </x:c>
      <x:c r="S65" s="4" t="str">
        <x:v>GitHub月榜24-26</x:v>
      </x:c>
      <x:c r="T65" s="4" t="n">
        <x:v>63</x:v>
      </x:c>
      <x:c r="U65" s="4" t="str">
        <x:v>https://github.com/KRTirtho/spotube</x:v>
      </x:c>
      <x:c r="V65" s="4" t="str">
        <x:v>krtirtho/spotube</x:v>
      </x:c>
    </x:row>
    <x:row r="66" ht="44" customHeight="1">
      <x:c r="A66" s="4" t="n">
        <x:v>61</x:v>
      </x:c>
      <x:c r="B66" s="4" t="str">
        <x:v>KeygraphHQ/shannon</x:v>
      </x:c>
      <x:c r="C66" s="4" t="n">
        <x:v>4</x:v>
      </x:c>
      <x:c r="D66" s="4" t="str">
        <x:v>安全与身份认证</x:v>
      </x:c>
      <x:c r="E66" s="4" t="str">
        <x:v>本地证据分类</x:v>
      </x:c>
      <x:c r="F66" s="4" t="n">
        <x:v>1</x:v>
      </x:c>
      <x:c r="G66" s="4" t="str">
        <x:v>软件项目</x:v>
      </x:c>
      <x:c r="H66" s="4" t="str">
        <x:v>安全审计</x:v>
      </x:c>
      <x:c r="I66" s="4" t="str">
        <x:v>当前页面未列入</x:v>
      </x:c>
      <x:c r="J66" s="4" t="str">
        <x:v>未记录</x:v>
      </x:c>
      <x:c r="K66" s="4" t="str">
        <x:v>未获取</x:v>
      </x:c>
      <x:c r="L66" s="4" t="str">
        <x:v>未记录</x:v>
      </x:c>
      <x:c r="M66" s="4" t="n">
        <x:v>0</x:v>
      </x:c>
      <x:c r="N66" s="4"/>
      <x:c r="O66" s="4"/>
      <x:c r="P66" s="9"/>
      <x:c r="Q66" s="4"/>
      <x:c r="R66" s="4" t="str">
        <x:v>项目名称/框架的明确功能定位；未逐一在线核验README</x:v>
      </x:c>
      <x:c r="S66" s="4" t="str">
        <x:v>GitHub月榜24-26</x:v>
      </x:c>
      <x:c r="T66" s="4" t="n">
        <x:v>64</x:v>
      </x:c>
      <x:c r="U66" s="4" t="str">
        <x:v>https://github.com/KeygraphHQ/shannon</x:v>
      </x:c>
      <x:c r="V66" s="4" t="str">
        <x:v>keygraphhq/shannon</x:v>
      </x:c>
    </x:row>
    <x:row r="67" ht="44" customHeight="1">
      <x:c r="A67" s="4" t="n">
        <x:v>62</x:v>
      </x:c>
      <x:c r="B67" s="4" t="str">
        <x:v>Kilo-Org/kilocode</x:v>
      </x:c>
      <x:c r="C67" s="4" t="n">
        <x:v>14</x:v>
      </x:c>
      <x:c r="D67" s="4" t="str">
        <x:v>软件构建、开发与测试</x:v>
      </x:c>
      <x:c r="E67" s="4" t="str">
        <x:v>本地证据分类</x:v>
      </x:c>
      <x:c r="F67" s="4" t="n">
        <x:v>1</x:v>
      </x:c>
      <x:c r="G67" s="4" t="str">
        <x:v>软件项目</x:v>
      </x:c>
      <x:c r="H67" s="4" t="str">
        <x:v>软件工程；编程Agent需额外挂13标签</x:v>
      </x:c>
      <x:c r="I67" s="4" t="str">
        <x:v>Agent 与 AI 应用</x:v>
      </x:c>
      <x:c r="J67" s="4" t="str">
        <x:v>JavaScript/TypeScript</x:v>
      </x:c>
      <x:c r="K67" s="4" t="str">
        <x:v>未获取</x:v>
      </x:c>
      <x:c r="L67" s="4" t="str">
        <x:v>未记录</x:v>
      </x:c>
      <x:c r="M67" s="4" t="n">
        <x:v>13</x:v>
      </x:c>
      <x:c r="N67" s="4" t="n">
        <x:v>13</x:v>
      </x:c>
      <x:c r="O67" s="4" t="n">
        <x:v>6</x:v>
      </x:c>
      <x:c r="P67" s="9" t="n">
        <x:v>0.46153846153846156</x:v>
      </x:c>
      <x:c r="Q67" s="4"/>
      <x:c r="R67" s="4" t="str">
        <x:v>项目名称/框架的明确功能定位；未逐一在线核验README</x:v>
      </x:c>
      <x:c r="S67" s="4" t="str">
        <x:v>GitHub月榜24-26</x:v>
      </x:c>
      <x:c r="T67" s="4" t="n">
        <x:v>65</x:v>
      </x:c>
      <x:c r="U67" s="4" t="str">
        <x:v>https://github.com/Kilo-Org/kilocode</x:v>
      </x:c>
      <x:c r="V67" s="4" t="str">
        <x:v>kilo-org/kilocode</x:v>
      </x:c>
    </x:row>
    <x:row r="68" ht="44" customHeight="1">
      <x:c r="A68" s="4" t="n">
        <x:v>63</x:v>
      </x:c>
      <x:c r="B68" s="4" t="str">
        <x:v>LadybirdBrowser/ladybird</x:v>
      </x:c>
      <x:c r="C68" s="4"/>
      <x:c r="D68" s="4" t="str">
        <x:v>未归入15类</x:v>
      </x:c>
      <x:c r="E68" s="4" t="str">
        <x:v>信息不足</x:v>
      </x:c>
      <x:c r="F68" s="4" t="n">
        <x:v>1</x:v>
      </x:c>
      <x:c r="G68" s="4" t="str">
        <x:v>待确认项目</x:v>
      </x:c>
      <x:c r="H68" s="4" t="str"/>
      <x:c r="I68" s="4" t="str">
        <x:v>当前页面未列入</x:v>
      </x:c>
      <x:c r="J68" s="4" t="str">
        <x:v>未记录</x:v>
      </x:c>
      <x:c r="K68" s="4" t="str">
        <x:v>未获取</x:v>
      </x:c>
      <x:c r="L68" s="4" t="str">
        <x:v>未记录</x:v>
      </x:c>
      <x:c r="M68" s="4" t="n">
        <x:v>0</x:v>
      </x:c>
      <x:c r="N68" s="4"/>
      <x:c r="O68" s="4"/>
      <x:c r="P68" s="9"/>
      <x:c r="Q68" s="4"/>
      <x:c r="R68" s="4" t="str">
        <x:v>缺少明确功能描述，不按依赖或语言强行归类</x:v>
      </x:c>
      <x:c r="S68" s="4" t="str">
        <x:v>GitHub月榜24-26</x:v>
      </x:c>
      <x:c r="T68" s="4" t="n">
        <x:v>66</x:v>
      </x:c>
      <x:c r="U68" s="4" t="str">
        <x:v>https://github.com/LadybirdBrowser/ladybird</x:v>
      </x:c>
      <x:c r="V68" s="4" t="str">
        <x:v>ladybirdbrowser/ladybird</x:v>
      </x:c>
    </x:row>
    <x:row r="69" ht="44" customHeight="1">
      <x:c r="A69" s="4" t="n">
        <x:v>64</x:v>
      </x:c>
      <x:c r="B69" s="4" t="str">
        <x:v>Leonxlnx/taste-skill</x:v>
      </x:c>
      <x:c r="C69" s="4"/>
      <x:c r="D69" s="4" t="str">
        <x:v>未归入15类</x:v>
      </x:c>
      <x:c r="E69" s="4" t="str">
        <x:v>范围排除</x:v>
      </x:c>
      <x:c r="F69" s="4" t="n">
        <x:v>0</x:v>
      </x:c>
      <x:c r="G69" s="4" t="str">
        <x:v>教程/资源/技能资产</x:v>
      </x:c>
      <x:c r="H69" s="4" t="str">
        <x:v>Agent资源（不等于运行时）</x:v>
      </x:c>
      <x:c r="I69" s="4" t="str">
        <x:v>当前页面未列入</x:v>
      </x:c>
      <x:c r="J69" s="4" t="str">
        <x:v>未记录</x:v>
      </x:c>
      <x:c r="K69" s="4" t="str">
        <x:v>未获取</x:v>
      </x:c>
      <x:c r="L69" s="4" t="str">
        <x:v>未记录</x:v>
      </x:c>
      <x:c r="M69" s="4" t="n">
        <x:v>0</x:v>
      </x:c>
      <x:c r="N69" s="4"/>
      <x:c r="O69" s="4"/>
      <x:c r="P69" s="9"/>
      <x:c r="Q69" s="4"/>
      <x:c r="R69" s="4" t="str">
        <x:v>按项目名称与已获取定位识别为知识、数据或技能资源；非独立软件能力证据</x:v>
      </x:c>
      <x:c r="S69" s="4" t="str">
        <x:v>GitHub月榜24-26</x:v>
      </x:c>
      <x:c r="T69" s="4" t="n">
        <x:v>67</x:v>
      </x:c>
      <x:c r="U69" s="4" t="str">
        <x:v>https://github.com/Leonxlnx/taste-skill</x:v>
      </x:c>
      <x:c r="V69" s="4" t="str">
        <x:v>leonxlnx/taste-skill</x:v>
      </x:c>
    </x:row>
    <x:row r="70" ht="44" customHeight="1">
      <x:c r="A70" s="4" t="n">
        <x:v>65</x:v>
      </x:c>
      <x:c r="B70" s="4" t="str">
        <x:v>LizardByte/Sunshine</x:v>
      </x:c>
      <x:c r="C70" s="4" t="n">
        <x:v>9</x:v>
      </x:c>
      <x:c r="D70" s="4" t="str">
        <x:v>图形、多媒体与实时应用</x:v>
      </x:c>
      <x:c r="E70" s="4" t="str">
        <x:v>本地证据分类</x:v>
      </x:c>
      <x:c r="F70" s="4" t="n">
        <x:v>1</x:v>
      </x:c>
      <x:c r="G70" s="4" t="str">
        <x:v>软件项目</x:v>
      </x:c>
      <x:c r="H70" s="4" t="str">
        <x:v>媒体/图形</x:v>
      </x:c>
      <x:c r="I70" s="4" t="str">
        <x:v>行业与其他应用</x:v>
      </x:c>
      <x:c r="J70" s="4" t="str">
        <x:v>Python</x:v>
      </x:c>
      <x:c r="K70" s="4" t="str">
        <x:v>未获取</x:v>
      </x:c>
      <x:c r="L70" s="4" t="str">
        <x:v>未记录</x:v>
      </x:c>
      <x:c r="M70" s="4" t="n">
        <x:v>1</x:v>
      </x:c>
      <x:c r="N70" s="4" t="n">
        <x:v>1</x:v>
      </x:c>
      <x:c r="O70" s="4" t="n">
        <x:v>0</x:v>
      </x:c>
      <x:c r="P70" s="9" t="n">
        <x:v>0</x:v>
      </x:c>
      <x:c r="Q70" s="4"/>
      <x:c r="R70" s="4" t="str">
        <x:v>项目名称/框架的明确功能定位；未逐一在线核验README</x:v>
      </x:c>
      <x:c r="S70" s="4" t="str">
        <x:v>GitHub月榜24-26</x:v>
      </x:c>
      <x:c r="T70" s="4" t="n">
        <x:v>68</x:v>
      </x:c>
      <x:c r="U70" s="4" t="str">
        <x:v>https://github.com/LizardByte/Sunshine</x:v>
      </x:c>
      <x:c r="V70" s="4" t="str">
        <x:v>lizardbyte/sunshine</x:v>
      </x:c>
    </x:row>
    <x:row r="71" ht="44" customHeight="1">
      <x:c r="A71" s="4" t="n">
        <x:v>66</x:v>
      </x:c>
      <x:c r="B71" s="4" t="str">
        <x:v>Lum1104/Understand-Anything</x:v>
      </x:c>
      <x:c r="C71" s="4" t="n">
        <x:v>14</x:v>
      </x:c>
      <x:c r="D71" s="4" t="str">
        <x:v>软件构建、开发与测试</x:v>
      </x:c>
      <x:c r="E71" s="4" t="str">
        <x:v>本地证据分类</x:v>
      </x:c>
      <x:c r="F71" s="4" t="n">
        <x:v>1</x:v>
      </x:c>
      <x:c r="G71" s="4" t="str">
        <x:v>软件项目</x:v>
      </x:c>
      <x:c r="H71" s="4" t="str">
        <x:v>软件工程；编程Agent需额外挂13标签</x:v>
      </x:c>
      <x:c r="I71" s="4" t="str">
        <x:v>开发工具与工程效率</x:v>
      </x:c>
      <x:c r="J71" s="4" t="str">
        <x:v>JavaScript/TypeScript</x:v>
      </x:c>
      <x:c r="K71" s="4" t="str">
        <x:v>未获取</x:v>
      </x:c>
      <x:c r="L71" s="4" t="str">
        <x:v>未记录</x:v>
      </x:c>
      <x:c r="M71" s="4" t="n">
        <x:v>2</x:v>
      </x:c>
      <x:c r="N71" s="4" t="n">
        <x:v>2</x:v>
      </x:c>
      <x:c r="O71" s="4" t="n">
        <x:v>1</x:v>
      </x:c>
      <x:c r="P71" s="9" t="n">
        <x:v>0.5</x:v>
      </x:c>
      <x:c r="Q71" s="4"/>
      <x:c r="R71" s="4" t="str">
        <x:v>项目名称/框架的明确功能定位；未逐一在线核验README</x:v>
      </x:c>
      <x:c r="S71" s="4" t="str">
        <x:v>GitHub月榜24-26</x:v>
      </x:c>
      <x:c r="T71" s="4" t="n">
        <x:v>69</x:v>
      </x:c>
      <x:c r="U71" s="4" t="str">
        <x:v>https://github.com/Lum1104/Understand-Anything</x:v>
      </x:c>
      <x:c r="V71" s="4" t="str">
        <x:v>lum1104/understand-anything</x:v>
      </x:c>
    </x:row>
    <x:row r="72" ht="44" customHeight="1">
      <x:c r="A72" s="4" t="n">
        <x:v>67</x:v>
      </x:c>
      <x:c r="B72" s="4" t="str">
        <x:v>MODSetter/SurfSense</x:v>
      </x:c>
      <x:c r="C72" s="4" t="n">
        <x:v>13</x:v>
      </x:c>
      <x:c r="D72" s="4" t="str">
        <x:v>Agent编排与工具执行</x:v>
      </x:c>
      <x:c r="E72" s="4" t="str">
        <x:v>本地证据分类</x:v>
      </x:c>
      <x:c r="F72" s="4" t="n">
        <x:v>1</x:v>
      </x:c>
      <x:c r="G72" s="4" t="str">
        <x:v>软件项目</x:v>
      </x:c>
      <x:c r="H72" s="4" t="str">
        <x:v>Agent/模型与工具</x:v>
      </x:c>
      <x:c r="I72" s="4" t="str">
        <x:v>当前页面未列入</x:v>
      </x:c>
      <x:c r="J72" s="4" t="str">
        <x:v>未记录</x:v>
      </x:c>
      <x:c r="K72" s="4" t="str">
        <x:v>未获取</x:v>
      </x:c>
      <x:c r="L72" s="4" t="str">
        <x:v>未记录</x:v>
      </x:c>
      <x:c r="M72" s="4" t="n">
        <x:v>0</x:v>
      </x:c>
      <x:c r="N72" s="4"/>
      <x:c r="O72" s="4"/>
      <x:c r="P72" s="9"/>
      <x:c r="Q72" s="4"/>
      <x:c r="R72" s="4" t="str">
        <x:v>项目名称/框架的明确功能定位；未逐一在线核验README</x:v>
      </x:c>
      <x:c r="S72" s="4" t="str">
        <x:v>GitHub月榜24-26</x:v>
      </x:c>
      <x:c r="T72" s="4" t="n">
        <x:v>70</x:v>
      </x:c>
      <x:c r="U72" s="4" t="str">
        <x:v>https://github.com/MODSetter/SurfSense</x:v>
      </x:c>
      <x:c r="V72" s="4" t="str">
        <x:v>modsetter/surfsense</x:v>
      </x:c>
    </x:row>
    <x:row r="73" ht="44" customHeight="1">
      <x:c r="A73" s="4" t="n">
        <x:v>68</x:v>
      </x:c>
      <x:c r="B73" s="4" t="str">
        <x:v>MadsLorentzen/ai-job-search</x:v>
      </x:c>
      <x:c r="C73" s="4"/>
      <x:c r="D73" s="4" t="str">
        <x:v>未归入15类</x:v>
      </x:c>
      <x:c r="E73" s="4" t="str">
        <x:v>信息不足</x:v>
      </x:c>
      <x:c r="F73" s="4" t="n">
        <x:v>1</x:v>
      </x:c>
      <x:c r="G73" s="4" t="str">
        <x:v>待确认项目</x:v>
      </x:c>
      <x:c r="H73" s="4" t="str"/>
      <x:c r="I73" s="4" t="str">
        <x:v>当前页面未列入</x:v>
      </x:c>
      <x:c r="J73" s="4" t="str">
        <x:v>未记录</x:v>
      </x:c>
      <x:c r="K73" s="4" t="str">
        <x:v>未获取</x:v>
      </x:c>
      <x:c r="L73" s="4" t="str">
        <x:v>未记录</x:v>
      </x:c>
      <x:c r="M73" s="4" t="n">
        <x:v>0</x:v>
      </x:c>
      <x:c r="N73" s="4"/>
      <x:c r="O73" s="4"/>
      <x:c r="P73" s="9"/>
      <x:c r="Q73" s="4"/>
      <x:c r="R73" s="4" t="str">
        <x:v>缺少明确功能描述，不按依赖或语言强行归类</x:v>
      </x:c>
      <x:c r="S73" s="4" t="str">
        <x:v>GitHub月榜24-26</x:v>
      </x:c>
      <x:c r="T73" s="4" t="n">
        <x:v>71</x:v>
      </x:c>
      <x:c r="U73" s="4" t="str">
        <x:v>https://github.com/MadsLorentzen/ai-job-search</x:v>
      </x:c>
      <x:c r="V73" s="4" t="str">
        <x:v>madslorentzen/ai-job-search</x:v>
      </x:c>
    </x:row>
    <x:row r="74" ht="44" customHeight="1">
      <x:c r="A74" s="4" t="n">
        <x:v>69</x:v>
      </x:c>
      <x:c r="B74" s="4" t="str">
        <x:v>ManimCommunity/manim</x:v>
      </x:c>
      <x:c r="C74" s="4" t="n">
        <x:v>9</x:v>
      </x:c>
      <x:c r="D74" s="4" t="str">
        <x:v>图形、多媒体与实时应用</x:v>
      </x:c>
      <x:c r="E74" s="4" t="str">
        <x:v>本地证据分类</x:v>
      </x:c>
      <x:c r="F74" s="4" t="n">
        <x:v>1</x:v>
      </x:c>
      <x:c r="G74" s="4" t="str">
        <x:v>软件项目</x:v>
      </x:c>
      <x:c r="H74" s="4" t="str">
        <x:v>媒体/图形</x:v>
      </x:c>
      <x:c r="I74" s="4" t="str">
        <x:v>多媒体与图形</x:v>
      </x:c>
      <x:c r="J74" s="4" t="str">
        <x:v>Python</x:v>
      </x:c>
      <x:c r="K74" s="4" t="str">
        <x:v>未获取</x:v>
      </x:c>
      <x:c r="L74" s="4" t="str">
        <x:v>未记录</x:v>
      </x:c>
      <x:c r="M74" s="4" t="n">
        <x:v>25</x:v>
      </x:c>
      <x:c r="N74" s="4" t="n">
        <x:v>25</x:v>
      </x:c>
      <x:c r="O74" s="4" t="n">
        <x:v>18</x:v>
      </x:c>
      <x:c r="P74" s="9" t="n">
        <x:v>0.72</x:v>
      </x:c>
      <x:c r="Q74" s="4"/>
      <x:c r="R74" s="4" t="str">
        <x:v>项目名称/框架的明确功能定位；未逐一在线核验README</x:v>
      </x:c>
      <x:c r="S74" s="4" t="str">
        <x:v>GitHub月榜24-26</x:v>
      </x:c>
      <x:c r="T74" s="4" t="n">
        <x:v>72</x:v>
      </x:c>
      <x:c r="U74" s="4" t="str">
        <x:v>https://github.com/ManimCommunity/manim</x:v>
      </x:c>
      <x:c r="V74" s="4" t="str">
        <x:v>manimcommunity/manim</x:v>
      </x:c>
    </x:row>
    <x:row r="75" ht="44" customHeight="1">
      <x:c r="A75" s="4" t="n">
        <x:v>70</x:v>
      </x:c>
      <x:c r="B75" s="4" t="str">
        <x:v>Mintplex-Labs/anything-llm</x:v>
      </x:c>
      <x:c r="C75" s="4" t="n">
        <x:v>13</x:v>
      </x:c>
      <x:c r="D75" s="4" t="str">
        <x:v>Agent编排与工具执行</x:v>
      </x:c>
      <x:c r="E75" s="4" t="str">
        <x:v>本地证据分类</x:v>
      </x:c>
      <x:c r="F75" s="4" t="n">
        <x:v>1</x:v>
      </x:c>
      <x:c r="G75" s="4" t="str">
        <x:v>软件项目</x:v>
      </x:c>
      <x:c r="H75" s="4" t="str">
        <x:v>Agent/模型与工具</x:v>
      </x:c>
      <x:c r="I75" s="4" t="str">
        <x:v>当前页面未列入</x:v>
      </x:c>
      <x:c r="J75" s="4" t="str">
        <x:v>未记录</x:v>
      </x:c>
      <x:c r="K75" s="4" t="str">
        <x:v>未获取</x:v>
      </x:c>
      <x:c r="L75" s="4" t="str">
        <x:v>未记录</x:v>
      </x:c>
      <x:c r="M75" s="4" t="n">
        <x:v>0</x:v>
      </x:c>
      <x:c r="N75" s="4"/>
      <x:c r="O75" s="4"/>
      <x:c r="P75" s="9"/>
      <x:c r="Q75" s="4"/>
      <x:c r="R75" s="4" t="str">
        <x:v>项目名称/框架的明确功能定位；未逐一在线核验README</x:v>
      </x:c>
      <x:c r="S75" s="4" t="str">
        <x:v>GitHub月榜24-26</x:v>
      </x:c>
      <x:c r="T75" s="4" t="n">
        <x:v>73</x:v>
      </x:c>
      <x:c r="U75" s="4" t="str">
        <x:v>https://github.com/Mintplex-Labs/anything-llm</x:v>
      </x:c>
      <x:c r="V75" s="4" t="str">
        <x:v>mintplex-labs/anything-llm</x:v>
      </x:c>
    </x:row>
    <x:row r="76" ht="44" customHeight="1">
      <x:c r="A76" s="4" t="n">
        <x:v>71</x:v>
      </x:c>
      <x:c r="B76" s="4" t="str">
        <x:v>MiroMindAI/MiroThinker</x:v>
      </x:c>
      <x:c r="C76" s="4" t="n">
        <x:v>13</x:v>
      </x:c>
      <x:c r="D76" s="4" t="str">
        <x:v>Agent编排与工具执行</x:v>
      </x:c>
      <x:c r="E76" s="4" t="str">
        <x:v>本地证据分类</x:v>
      </x:c>
      <x:c r="F76" s="4" t="n">
        <x:v>1</x:v>
      </x:c>
      <x:c r="G76" s="4" t="str">
        <x:v>软件项目</x:v>
      </x:c>
      <x:c r="H76" s="4" t="str">
        <x:v>Agent/模型与工具</x:v>
      </x:c>
      <x:c r="I76" s="4" t="str">
        <x:v>当前页面未列入</x:v>
      </x:c>
      <x:c r="J76" s="4" t="str">
        <x:v>未记录</x:v>
      </x:c>
      <x:c r="K76" s="4" t="str">
        <x:v>未获取</x:v>
      </x:c>
      <x:c r="L76" s="4" t="str">
        <x:v>未记录</x:v>
      </x:c>
      <x:c r="M76" s="4" t="n">
        <x:v>0</x:v>
      </x:c>
      <x:c r="N76" s="4"/>
      <x:c r="O76" s="4"/>
      <x:c r="P76" s="9"/>
      <x:c r="Q76" s="4"/>
      <x:c r="R76" s="4" t="str">
        <x:v>项目名称/框架的明确功能定位；未逐一在线核验README</x:v>
      </x:c>
      <x:c r="S76" s="4" t="str">
        <x:v>GitHub月榜24-26</x:v>
      </x:c>
      <x:c r="T76" s="4" t="n">
        <x:v>74</x:v>
      </x:c>
      <x:c r="U76" s="4" t="str">
        <x:v>https://github.com/MiroMindAI/MiroThinker</x:v>
      </x:c>
      <x:c r="V76" s="4" t="str">
        <x:v>miromindai/mirothinker</x:v>
      </x:c>
    </x:row>
    <x:row r="77" ht="44" customHeight="1">
      <x:c r="A77" s="4" t="n">
        <x:v>72</x:v>
      </x:c>
      <x:c r="B77" s="4" t="str">
        <x:v>MustardChef/WSABuilds</x:v>
      </x:c>
      <x:c r="C77" s="4" t="n">
        <x:v>2</x:v>
      </x:c>
      <x:c r="D77" s="4" t="str">
        <x:v>系统资源与原生互操作</x:v>
      </x:c>
      <x:c r="E77" s="4" t="str">
        <x:v>本地证据分类</x:v>
      </x:c>
      <x:c r="F77" s="4" t="n">
        <x:v>1</x:v>
      </x:c>
      <x:c r="G77" s="4" t="str">
        <x:v>软件项目</x:v>
      </x:c>
      <x:c r="H77" s="4" t="str">
        <x:v>原生/系统接口</x:v>
      </x:c>
      <x:c r="I77" s="4" t="str">
        <x:v>当前页面未列入</x:v>
      </x:c>
      <x:c r="J77" s="4" t="str">
        <x:v>未记录</x:v>
      </x:c>
      <x:c r="K77" s="4" t="str">
        <x:v>未获取</x:v>
      </x:c>
      <x:c r="L77" s="4" t="str">
        <x:v>未记录</x:v>
      </x:c>
      <x:c r="M77" s="4" t="n">
        <x:v>0</x:v>
      </x:c>
      <x:c r="N77" s="4"/>
      <x:c r="O77" s="4"/>
      <x:c r="P77" s="9"/>
      <x:c r="Q77" s="4"/>
      <x:c r="R77" s="4" t="str">
        <x:v>项目名称/框架的明确功能定位；未逐一在线核验README</x:v>
      </x:c>
      <x:c r="S77" s="4" t="str">
        <x:v>GitHub月榜24-26</x:v>
      </x:c>
      <x:c r="T77" s="4" t="n">
        <x:v>75</x:v>
      </x:c>
      <x:c r="U77" s="4" t="str">
        <x:v>https://github.com/MustardChef/WSABuilds</x:v>
      </x:c>
      <x:c r="V77" s="4" t="str">
        <x:v>mustardchef/wsabuilds</x:v>
      </x:c>
    </x:row>
    <x:row r="78" ht="44" customHeight="1">
      <x:c r="A78" s="4" t="n">
        <x:v>73</x:v>
      </x:c>
      <x:c r="B78" s="4" t="str">
        <x:v>NaiboWang/EasySpider</x:v>
      </x:c>
      <x:c r="C78" s="4" t="n">
        <x:v>12</x:v>
      </x:c>
      <x:c r="D78" s="4" t="str">
        <x:v>办公软件与桌面操作自动化</x:v>
      </x:c>
      <x:c r="E78" s="4" t="str">
        <x:v>本地证据分类</x:v>
      </x:c>
      <x:c r="F78" s="4" t="n">
        <x:v>1</x:v>
      </x:c>
      <x:c r="G78" s="4" t="str">
        <x:v>软件项目</x:v>
      </x:c>
      <x:c r="H78" s="4" t="str">
        <x:v>办公/浏览器执行</x:v>
      </x:c>
      <x:c r="I78" s="4" t="str">
        <x:v>当前页面未列入</x:v>
      </x:c>
      <x:c r="J78" s="4" t="str">
        <x:v>未记录</x:v>
      </x:c>
      <x:c r="K78" s="4" t="str">
        <x:v>未获取</x:v>
      </x:c>
      <x:c r="L78" s="4" t="str">
        <x:v>未记录</x:v>
      </x:c>
      <x:c r="M78" s="4" t="n">
        <x:v>0</x:v>
      </x:c>
      <x:c r="N78" s="4"/>
      <x:c r="O78" s="4"/>
      <x:c r="P78" s="9"/>
      <x:c r="Q78" s="4"/>
      <x:c r="R78" s="4" t="str">
        <x:v>项目名称/框架的明确功能定位；未逐一在线核验README</x:v>
      </x:c>
      <x:c r="S78" s="4" t="str">
        <x:v>GitHub月榜24-26</x:v>
      </x:c>
      <x:c r="T78" s="4" t="n">
        <x:v>76</x:v>
      </x:c>
      <x:c r="U78" s="4" t="str">
        <x:v>https://github.com/NaiboWang/EasySpider</x:v>
      </x:c>
      <x:c r="V78" s="4" t="str">
        <x:v>naibowang/easyspider</x:v>
      </x:c>
    </x:row>
    <x:row r="79" ht="44" customHeight="1">
      <x:c r="A79" s="4" t="n">
        <x:v>74</x:v>
      </x:c>
      <x:c r="B79" s="4" t="str">
        <x:v>NanmiCoder/MediaCrawler</x:v>
      </x:c>
      <x:c r="C79" s="4" t="n">
        <x:v>12</x:v>
      </x:c>
      <x:c r="D79" s="4" t="str">
        <x:v>办公软件与桌面操作自动化</x:v>
      </x:c>
      <x:c r="E79" s="4" t="str">
        <x:v>本地证据分类</x:v>
      </x:c>
      <x:c r="F79" s="4" t="n">
        <x:v>1</x:v>
      </x:c>
      <x:c r="G79" s="4" t="str">
        <x:v>软件项目</x:v>
      </x:c>
      <x:c r="H79" s="4" t="str">
        <x:v>办公/浏览器执行</x:v>
      </x:c>
      <x:c r="I79" s="4" t="str">
        <x:v>浏览器自动化与数据采集</x:v>
      </x:c>
      <x:c r="J79" s="4" t="str">
        <x:v>Python</x:v>
      </x:c>
      <x:c r="K79" s="4" t="str">
        <x:v>未获取</x:v>
      </x:c>
      <x:c r="L79" s="4" t="str">
        <x:v>未记录</x:v>
      </x:c>
      <x:c r="M79" s="4" t="n">
        <x:v>31</x:v>
      </x:c>
      <x:c r="N79" s="4" t="n">
        <x:v>31</x:v>
      </x:c>
      <x:c r="O79" s="4" t="n">
        <x:v>28</x:v>
      </x:c>
      <x:c r="P79" s="9" t="n">
        <x:v>0.9032258064516129</x:v>
      </x:c>
      <x:c r="Q79" s="4"/>
      <x:c r="R79" s="4" t="str">
        <x:v>项目名称/框架的明确功能定位；未逐一在线核验README</x:v>
      </x:c>
      <x:c r="S79" s="4" t="str">
        <x:v>GitHub月榜24-26</x:v>
      </x:c>
      <x:c r="T79" s="4" t="n">
        <x:v>77</x:v>
      </x:c>
      <x:c r="U79" s="4" t="str">
        <x:v>https://github.com/NanmiCoder/MediaCrawler</x:v>
      </x:c>
      <x:c r="V79" s="4" t="str">
        <x:v>nanmicoder/mediacrawler</x:v>
      </x:c>
    </x:row>
    <x:row r="80" ht="44" customHeight="1">
      <x:c r="A80" s="4" t="n">
        <x:v>75</x:v>
      </x:c>
      <x:c r="B80" s="4" t="str">
        <x:v>NevaMind-AI/memU</x:v>
      </x:c>
      <x:c r="C80" s="4" t="n">
        <x:v>13</x:v>
      </x:c>
      <x:c r="D80" s="4" t="str">
        <x:v>Agent编排与工具执行</x:v>
      </x:c>
      <x:c r="E80" s="4" t="str">
        <x:v>本地证据分类</x:v>
      </x:c>
      <x:c r="F80" s="4" t="n">
        <x:v>1</x:v>
      </x:c>
      <x:c r="G80" s="4" t="str">
        <x:v>软件项目</x:v>
      </x:c>
      <x:c r="H80" s="4" t="str">
        <x:v>Agent/模型与工具</x:v>
      </x:c>
      <x:c r="I80" s="4" t="str">
        <x:v>Agent 与 AI 应用</x:v>
      </x:c>
      <x:c r="J80" s="4" t="str">
        <x:v>Python</x:v>
      </x:c>
      <x:c r="K80" s="4" t="str">
        <x:v>未获取</x:v>
      </x:c>
      <x:c r="L80" s="4" t="str">
        <x:v>未记录</x:v>
      </x:c>
      <x:c r="M80" s="4" t="n">
        <x:v>7</x:v>
      </x:c>
      <x:c r="N80" s="4" t="n">
        <x:v>7</x:v>
      </x:c>
      <x:c r="O80" s="4" t="n">
        <x:v>6</x:v>
      </x:c>
      <x:c r="P80" s="9" t="n">
        <x:v>0.8571428571428571</x:v>
      </x:c>
      <x:c r="Q80" s="4"/>
      <x:c r="R80" s="4" t="str">
        <x:v>项目名称/框架的明确功能定位；未逐一在线核验README</x:v>
      </x:c>
      <x:c r="S80" s="4" t="str">
        <x:v>GitHub月榜24-26</x:v>
      </x:c>
      <x:c r="T80" s="4" t="n">
        <x:v>78</x:v>
      </x:c>
      <x:c r="U80" s="4" t="str">
        <x:v>https://github.com/NevaMind-AI/memU</x:v>
      </x:c>
      <x:c r="V80" s="4" t="str">
        <x:v>nevamind-ai/memu</x:v>
      </x:c>
    </x:row>
    <x:row r="81" ht="44" customHeight="1">
      <x:c r="A81" s="4" t="n">
        <x:v>76</x:v>
      </x:c>
      <x:c r="B81" s="4" t="str">
        <x:v>NirDiamant/RAG_Techniques</x:v>
      </x:c>
      <x:c r="C81" s="4"/>
      <x:c r="D81" s="4" t="str">
        <x:v>未归入15类</x:v>
      </x:c>
      <x:c r="E81" s="4" t="str">
        <x:v>范围排除</x:v>
      </x:c>
      <x:c r="F81" s="4" t="n">
        <x:v>0</x:v>
      </x:c>
      <x:c r="G81" s="4" t="str">
        <x:v>教程/资源/技能资产</x:v>
      </x:c>
      <x:c r="H81" s="4" t="str">
        <x:v>知识/数据资产</x:v>
      </x:c>
      <x:c r="I81" s="4" t="str">
        <x:v>当前页面未列入</x:v>
      </x:c>
      <x:c r="J81" s="4" t="str">
        <x:v>未记录</x:v>
      </x:c>
      <x:c r="K81" s="4" t="str">
        <x:v>未获取</x:v>
      </x:c>
      <x:c r="L81" s="4" t="str">
        <x:v>未记录</x:v>
      </x:c>
      <x:c r="M81" s="4" t="n">
        <x:v>0</x:v>
      </x:c>
      <x:c r="N81" s="4"/>
      <x:c r="O81" s="4"/>
      <x:c r="P81" s="9"/>
      <x:c r="Q81" s="4"/>
      <x:c r="R81" s="4" t="str">
        <x:v>按项目名称与已获取定位识别为知识、数据或技能资源；非独立软件能力证据</x:v>
      </x:c>
      <x:c r="S81" s="4" t="str">
        <x:v>GitHub月榜24-26</x:v>
      </x:c>
      <x:c r="T81" s="4" t="n">
        <x:v>79</x:v>
      </x:c>
      <x:c r="U81" s="4" t="str">
        <x:v>https://github.com/NirDiamant/RAG_Techniques</x:v>
      </x:c>
      <x:c r="V81" s="4" t="str">
        <x:v>nirdiamant/rag_techniques</x:v>
      </x:c>
    </x:row>
    <x:row r="82" ht="44" customHeight="1">
      <x:c r="A82" s="4" t="n">
        <x:v>77</x:v>
      </x:c>
      <x:c r="B82" s="4" t="str">
        <x:v>Nutlope/hallmark</x:v>
      </x:c>
      <x:c r="C82" s="4"/>
      <x:c r="D82" s="4" t="str">
        <x:v>未归入15类</x:v>
      </x:c>
      <x:c r="E82" s="4" t="str">
        <x:v>信息不足</x:v>
      </x:c>
      <x:c r="F82" s="4" t="n">
        <x:v>1</x:v>
      </x:c>
      <x:c r="G82" s="4" t="str">
        <x:v>待确认项目</x:v>
      </x:c>
      <x:c r="H82" s="4" t="str"/>
      <x:c r="I82" s="4" t="str">
        <x:v>当前页面未列入</x:v>
      </x:c>
      <x:c r="J82" s="4" t="str">
        <x:v>未记录</x:v>
      </x:c>
      <x:c r="K82" s="4" t="str">
        <x:v>未获取</x:v>
      </x:c>
      <x:c r="L82" s="4" t="str">
        <x:v>未记录</x:v>
      </x:c>
      <x:c r="M82" s="4" t="n">
        <x:v>0</x:v>
      </x:c>
      <x:c r="N82" s="4"/>
      <x:c r="O82" s="4"/>
      <x:c r="P82" s="9"/>
      <x:c r="Q82" s="4"/>
      <x:c r="R82" s="4" t="str">
        <x:v>缺少明确功能描述，不按依赖或语言强行归类</x:v>
      </x:c>
      <x:c r="S82" s="4" t="str">
        <x:v>GitHub月榜24-26</x:v>
      </x:c>
      <x:c r="T82" s="4" t="n">
        <x:v>80</x:v>
      </x:c>
      <x:c r="U82" s="4" t="str">
        <x:v>https://github.com/Nutlope/hallmark</x:v>
      </x:c>
      <x:c r="V82" s="4" t="str">
        <x:v>nutlope/hallmark</x:v>
      </x:c>
    </x:row>
    <x:row r="83" ht="44" customHeight="1">
      <x:c r="A83" s="4" t="n">
        <x:v>78</x:v>
      </x:c>
      <x:c r="B83" s="4" t="str">
        <x:v>OpenBB-finance/OpenBBTerminal</x:v>
      </x:c>
      <x:c r="C83" s="4" t="n">
        <x:v>8</x:v>
      </x:c>
      <x:c r="D83" s="4" t="str">
        <x:v>数据处理与科学计算</x:v>
      </x:c>
      <x:c r="E83" s="4" t="str">
        <x:v>本地证据分类</x:v>
      </x:c>
      <x:c r="F83" s="4" t="n">
        <x:v>1</x:v>
      </x:c>
      <x:c r="G83" s="4" t="str">
        <x:v>软件项目</x:v>
      </x:c>
      <x:c r="H83" s="4" t="str">
        <x:v>数据/行业分析</x:v>
      </x:c>
      <x:c r="I83" s="4" t="str">
        <x:v>当前页面未列入</x:v>
      </x:c>
      <x:c r="J83" s="4" t="str">
        <x:v>未记录</x:v>
      </x:c>
      <x:c r="K83" s="4" t="str">
        <x:v>未获取</x:v>
      </x:c>
      <x:c r="L83" s="4" t="str">
        <x:v>未记录</x:v>
      </x:c>
      <x:c r="M83" s="4" t="n">
        <x:v>0</x:v>
      </x:c>
      <x:c r="N83" s="4"/>
      <x:c r="O83" s="4"/>
      <x:c r="P83" s="9"/>
      <x:c r="Q83" s="4"/>
      <x:c r="R83" s="4" t="str">
        <x:v>项目名称/框架的明确功能定位；未逐一在线核验README</x:v>
      </x:c>
      <x:c r="S83" s="4" t="str">
        <x:v>GitHub月榜24-26</x:v>
      </x:c>
      <x:c r="T83" s="4" t="n">
        <x:v>81</x:v>
      </x:c>
      <x:c r="U83" s="4" t="str">
        <x:v>https://github.com/OpenBB-finance/OpenBBTerminal</x:v>
      </x:c>
      <x:c r="V83" s="4" t="str">
        <x:v>openbb-finance/openbbterminal</x:v>
      </x:c>
    </x:row>
    <x:row r="84" ht="44" customHeight="1">
      <x:c r="A84" s="4" t="n">
        <x:v>79</x:v>
      </x:c>
      <x:c r="B84" s="4" t="str">
        <x:v>OpenBMB/VoxCPM</x:v>
      </x:c>
      <x:c r="C84" s="4" t="n">
        <x:v>11</x:v>
      </x:c>
      <x:c r="D84" s="4" t="str">
        <x:v>AI模型与机器学习</x:v>
      </x:c>
      <x:c r="E84" s="4" t="str">
        <x:v>本地证据分类</x:v>
      </x:c>
      <x:c r="F84" s="4" t="n">
        <x:v>1</x:v>
      </x:c>
      <x:c r="G84" s="4" t="str">
        <x:v>软件项目</x:v>
      </x:c>
      <x:c r="H84" s="4" t="str">
        <x:v>AI模型/推理</x:v>
      </x:c>
      <x:c r="I84" s="4" t="str">
        <x:v>Agent 与 AI 应用</x:v>
      </x:c>
      <x:c r="J84" s="4" t="str">
        <x:v>Python</x:v>
      </x:c>
      <x:c r="K84" s="4" t="str">
        <x:v>未获取</x:v>
      </x:c>
      <x:c r="L84" s="4" t="str">
        <x:v>未记录</x:v>
      </x:c>
      <x:c r="M84" s="4" t="n">
        <x:v>23</x:v>
      </x:c>
      <x:c r="N84" s="4" t="n">
        <x:v>23</x:v>
      </x:c>
      <x:c r="O84" s="4" t="n">
        <x:v>15</x:v>
      </x:c>
      <x:c r="P84" s="9" t="n">
        <x:v>0.6521739130434783</x:v>
      </x:c>
      <x:c r="Q84" s="4"/>
      <x:c r="R84" s="4" t="str">
        <x:v>项目名称/框架的明确功能定位；未逐一在线核验README</x:v>
      </x:c>
      <x:c r="S84" s="4" t="str">
        <x:v>GitHub月榜24-26</x:v>
      </x:c>
      <x:c r="T84" s="4" t="n">
        <x:v>82</x:v>
      </x:c>
      <x:c r="U84" s="4" t="str">
        <x:v>https://github.com/OpenBMB/VoxCPM</x:v>
      </x:c>
      <x:c r="V84" s="4" t="str">
        <x:v>openbmb/voxcpm</x:v>
      </x:c>
    </x:row>
    <x:row r="85" ht="44" customHeight="1">
      <x:c r="A85" s="4" t="n">
        <x:v>80</x:v>
      </x:c>
      <x:c r="B85" s="4" t="str">
        <x:v>OpenCut-app/OpenCut</x:v>
      </x:c>
      <x:c r="C85" s="4" t="n">
        <x:v>9</x:v>
      </x:c>
      <x:c r="D85" s="4" t="str">
        <x:v>图形、多媒体与实时应用</x:v>
      </x:c>
      <x:c r="E85" s="4" t="str">
        <x:v>本地证据分类</x:v>
      </x:c>
      <x:c r="F85" s="4" t="n">
        <x:v>1</x:v>
      </x:c>
      <x:c r="G85" s="4" t="str">
        <x:v>软件项目</x:v>
      </x:c>
      <x:c r="H85" s="4" t="str">
        <x:v>媒体/图形</x:v>
      </x:c>
      <x:c r="I85" s="4" t="str">
        <x:v>当前页面未列入</x:v>
      </x:c>
      <x:c r="J85" s="4" t="str">
        <x:v>未记录</x:v>
      </x:c>
      <x:c r="K85" s="4" t="str">
        <x:v>未获取</x:v>
      </x:c>
      <x:c r="L85" s="4" t="str">
        <x:v>未记录</x:v>
      </x:c>
      <x:c r="M85" s="4" t="n">
        <x:v>0</x:v>
      </x:c>
      <x:c r="N85" s="4"/>
      <x:c r="O85" s="4"/>
      <x:c r="P85" s="9"/>
      <x:c r="Q85" s="4"/>
      <x:c r="R85" s="4" t="str">
        <x:v>项目名称/框架的明确功能定位；未逐一在线核验README</x:v>
      </x:c>
      <x:c r="S85" s="4" t="str">
        <x:v>GitHub月榜24-26</x:v>
      </x:c>
      <x:c r="T85" s="4" t="n">
        <x:v>83</x:v>
      </x:c>
      <x:c r="U85" s="4" t="str">
        <x:v>https://github.com/OpenCut-app/OpenCut</x:v>
      </x:c>
      <x:c r="V85" s="4" t="str">
        <x:v>opencut-app/opencut</x:v>
      </x:c>
    </x:row>
    <x:row r="86" ht="44" customHeight="1">
      <x:c r="A86" s="4" t="n">
        <x:v>81</x:v>
      </x:c>
      <x:c r="B86" s="4" t="str">
        <x:v>Orange-OpenSource/hurl</x:v>
      </x:c>
      <x:c r="C86" s="4" t="n">
        <x:v>14</x:v>
      </x:c>
      <x:c r="D86" s="4" t="str">
        <x:v>软件构建、开发与测试</x:v>
      </x:c>
      <x:c r="E86" s="4" t="str">
        <x:v>本地证据分类</x:v>
      </x:c>
      <x:c r="F86" s="4" t="n">
        <x:v>1</x:v>
      </x:c>
      <x:c r="G86" s="4" t="str">
        <x:v>软件项目</x:v>
      </x:c>
      <x:c r="H86" s="4" t="str">
        <x:v>软件工程；编程Agent需额外挂13标签</x:v>
      </x:c>
      <x:c r="I86" s="4" t="str">
        <x:v>当前页面未列入</x:v>
      </x:c>
      <x:c r="J86" s="4" t="str">
        <x:v>未记录</x:v>
      </x:c>
      <x:c r="K86" s="4" t="str">
        <x:v>未获取</x:v>
      </x:c>
      <x:c r="L86" s="4" t="str">
        <x:v>未记录</x:v>
      </x:c>
      <x:c r="M86" s="4" t="n">
        <x:v>0</x:v>
      </x:c>
      <x:c r="N86" s="4"/>
      <x:c r="O86" s="4"/>
      <x:c r="P86" s="9"/>
      <x:c r="Q86" s="4"/>
      <x:c r="R86" s="4" t="str">
        <x:v>项目名称/框架的明确功能定位；未逐一在线核验README</x:v>
      </x:c>
      <x:c r="S86" s="4" t="str">
        <x:v>GitHub月榜24-26</x:v>
      </x:c>
      <x:c r="T86" s="4" t="n">
        <x:v>84</x:v>
      </x:c>
      <x:c r="U86" s="4" t="str">
        <x:v>https://github.com/Orange-OpenSource/hurl</x:v>
      </x:c>
      <x:c r="V86" s="4" t="str">
        <x:v>orange-opensource/hurl</x:v>
      </x:c>
    </x:row>
    <x:row r="87" ht="44" customHeight="1">
      <x:c r="A87" s="4" t="n">
        <x:v>82</x:v>
      </x:c>
      <x:c r="B87" s="4" t="str">
        <x:v>PKUFlyingPig/cs-self-learning</x:v>
      </x:c>
      <x:c r="C87" s="4"/>
      <x:c r="D87" s="4" t="str">
        <x:v>未归入15类</x:v>
      </x:c>
      <x:c r="E87" s="4" t="str">
        <x:v>范围排除</x:v>
      </x:c>
      <x:c r="F87" s="4" t="n">
        <x:v>0</x:v>
      </x:c>
      <x:c r="G87" s="4" t="str">
        <x:v>教程/资源/技能资产</x:v>
      </x:c>
      <x:c r="H87" s="4" t="str">
        <x:v>知识/数据资产</x:v>
      </x:c>
      <x:c r="I87" s="4" t="str">
        <x:v>教育、示例与资源</x:v>
      </x:c>
      <x:c r="J87" s="4" t="str">
        <x:v>Python</x:v>
      </x:c>
      <x:c r="K87" s="4" t="str">
        <x:v>未获取</x:v>
      </x:c>
      <x:c r="L87" s="4" t="str">
        <x:v>未记录</x:v>
      </x:c>
      <x:c r="M87" s="4" t="n">
        <x:v>6</x:v>
      </x:c>
      <x:c r="N87" s="4" t="n">
        <x:v>6</x:v>
      </x:c>
      <x:c r="O87" s="4" t="n">
        <x:v>2</x:v>
      </x:c>
      <x:c r="P87" s="9" t="n">
        <x:v>0.3333333333333333</x:v>
      </x:c>
      <x:c r="Q87" s="4"/>
      <x:c r="R87" s="4" t="str">
        <x:v>按项目名称与已获取定位识别为知识、数据或技能资源；非独立软件能力证据</x:v>
      </x:c>
      <x:c r="S87" s="4" t="str">
        <x:v>GitHub月榜24-26</x:v>
      </x:c>
      <x:c r="T87" s="4" t="n">
        <x:v>85</x:v>
      </x:c>
      <x:c r="U87" s="4" t="str">
        <x:v>https://github.com/PKUFlyingPig/cs-self-learning</x:v>
      </x:c>
      <x:c r="V87" s="4" t="str">
        <x:v>pkuflyingpig/cs-self-learning</x:v>
      </x:c>
    </x:row>
    <x:row r="88" ht="44" customHeight="1">
      <x:c r="A88" s="4" t="n">
        <x:v>83</x:v>
      </x:c>
      <x:c r="B88" s="4" t="str">
        <x:v>Panniantong/Agent-Reach</x:v>
      </x:c>
      <x:c r="C88" s="4" t="n">
        <x:v>13</x:v>
      </x:c>
      <x:c r="D88" s="4" t="str">
        <x:v>Agent编排与工具执行</x:v>
      </x:c>
      <x:c r="E88" s="4" t="str">
        <x:v>本地证据分类</x:v>
      </x:c>
      <x:c r="F88" s="4" t="n">
        <x:v>1</x:v>
      </x:c>
      <x:c r="G88" s="4" t="str">
        <x:v>软件项目</x:v>
      </x:c>
      <x:c r="H88" s="4" t="str">
        <x:v>Agent/模型与工具</x:v>
      </x:c>
      <x:c r="I88" s="4" t="str">
        <x:v>Agent 与 AI 应用</x:v>
      </x:c>
      <x:c r="J88" s="4" t="str">
        <x:v>Python</x:v>
      </x:c>
      <x:c r="K88" s="4" t="str">
        <x:v>未获取</x:v>
      </x:c>
      <x:c r="L88" s="4" t="str">
        <x:v>未记录</x:v>
      </x:c>
      <x:c r="M88" s="4" t="n">
        <x:v>7</x:v>
      </x:c>
      <x:c r="N88" s="4" t="n">
        <x:v>7</x:v>
      </x:c>
      <x:c r="O88" s="4" t="n">
        <x:v>7</x:v>
      </x:c>
      <x:c r="P88" s="9" t="n">
        <x:v>1</x:v>
      </x:c>
      <x:c r="Q88" s="4"/>
      <x:c r="R88" s="4" t="str">
        <x:v>项目名称/框架的明确功能定位；未逐一在线核验README</x:v>
      </x:c>
      <x:c r="S88" s="4" t="str">
        <x:v>GitHub月榜24-26</x:v>
      </x:c>
      <x:c r="T88" s="4" t="n">
        <x:v>86</x:v>
      </x:c>
      <x:c r="U88" s="4" t="str">
        <x:v>https://github.com/Panniantong/Agent-Reach</x:v>
      </x:c>
      <x:c r="V88" s="4" t="str">
        <x:v>panniantong/agent-reach</x:v>
      </x:c>
    </x:row>
    <x:row r="89" ht="44" customHeight="1">
      <x:c r="A89" s="4" t="n">
        <x:v>84</x:v>
      </x:c>
      <x:c r="B89" s="4" t="str">
        <x:v>Predidit/Kazumi</x:v>
      </x:c>
      <x:c r="C89" s="4" t="n">
        <x:v>9</x:v>
      </x:c>
      <x:c r="D89" s="4" t="str">
        <x:v>图形、多媒体与实时应用</x:v>
      </x:c>
      <x:c r="E89" s="4" t="str">
        <x:v>本地证据分类</x:v>
      </x:c>
      <x:c r="F89" s="4" t="n">
        <x:v>1</x:v>
      </x:c>
      <x:c r="G89" s="4" t="str">
        <x:v>软件项目</x:v>
      </x:c>
      <x:c r="H89" s="4" t="str">
        <x:v>媒体/图形</x:v>
      </x:c>
      <x:c r="I89" s="4" t="str">
        <x:v>当前页面未列入</x:v>
      </x:c>
      <x:c r="J89" s="4" t="str">
        <x:v>未记录</x:v>
      </x:c>
      <x:c r="K89" s="4" t="str">
        <x:v>未获取</x:v>
      </x:c>
      <x:c r="L89" s="4" t="str">
        <x:v>未记录</x:v>
      </x:c>
      <x:c r="M89" s="4" t="n">
        <x:v>0</x:v>
      </x:c>
      <x:c r="N89" s="4"/>
      <x:c r="O89" s="4"/>
      <x:c r="P89" s="9"/>
      <x:c r="Q89" s="4"/>
      <x:c r="R89" s="4" t="str">
        <x:v>项目名称/框架的明确功能定位；未逐一在线核验README</x:v>
      </x:c>
      <x:c r="S89" s="4" t="str">
        <x:v>GitHub月榜24-26</x:v>
      </x:c>
      <x:c r="T89" s="4" t="n">
        <x:v>87</x:v>
      </x:c>
      <x:c r="U89" s="4" t="str">
        <x:v>https://github.com/Predidit/Kazumi</x:v>
      </x:c>
      <x:c r="V89" s="4" t="str">
        <x:v>predidit/kazumi</x:v>
      </x:c>
    </x:row>
    <x:row r="90" ht="44" customHeight="1">
      <x:c r="A90" s="4" t="n">
        <x:v>85</x:v>
      </x:c>
      <x:c r="B90" s="4" t="str">
        <x:v>PrimeIntellect-ai/prime-agent</x:v>
      </x:c>
      <x:c r="C90" s="4" t="n">
        <x:v>14</x:v>
      </x:c>
      <x:c r="D90" s="4" t="str">
        <x:v>软件构建、开发与测试</x:v>
      </x:c>
      <x:c r="E90" s="4" t="str">
        <x:v>本地证据分类</x:v>
      </x:c>
      <x:c r="F90" s="4" t="n">
        <x:v>1</x:v>
      </x:c>
      <x:c r="G90" s="4" t="str">
        <x:v>软件项目</x:v>
      </x:c>
      <x:c r="H90" s="4" t="str">
        <x:v>软件工程；编程Agent需额外挂13标签</x:v>
      </x:c>
      <x:c r="I90" s="4" t="str">
        <x:v>Agent 与 AI 应用</x:v>
      </x:c>
      <x:c r="J90" s="4" t="str">
        <x:v>JavaScript/TypeScript</x:v>
      </x:c>
      <x:c r="K90" s="4" t="str">
        <x:v>未获取</x:v>
      </x:c>
      <x:c r="L90" s="4" t="str">
        <x:v>未记录</x:v>
      </x:c>
      <x:c r="M90" s="4" t="n">
        <x:v>5</x:v>
      </x:c>
      <x:c r="N90" s="4" t="n">
        <x:v>5</x:v>
      </x:c>
      <x:c r="O90" s="4" t="n">
        <x:v>1</x:v>
      </x:c>
      <x:c r="P90" s="9" t="n">
        <x:v>0.2</x:v>
      </x:c>
      <x:c r="Q90" s="4"/>
      <x:c r="R90" s="4" t="str">
        <x:v>项目名称/框架的明确功能定位；未逐一在线核验README</x:v>
      </x:c>
      <x:c r="S90" s="4" t="str">
        <x:v>GitHub月榜24-26</x:v>
      </x:c>
      <x:c r="T90" s="4" t="n">
        <x:v>88</x:v>
      </x:c>
      <x:c r="U90" s="4" t="str">
        <x:v>https://github.com/PrimeIntellect-ai/prime-agent</x:v>
      </x:c>
      <x:c r="V90" s="4" t="str">
        <x:v>primeintellect-ai/prime-agent</x:v>
      </x:c>
    </x:row>
    <x:row r="91" ht="44" customHeight="1">
      <x:c r="A91" s="4" t="n">
        <x:v>86</x:v>
      </x:c>
      <x:c r="B91" s="4" t="str">
        <x:v>QwenLM/Qwen2.5</x:v>
      </x:c>
      <x:c r="C91" s="4" t="n">
        <x:v>11</x:v>
      </x:c>
      <x:c r="D91" s="4" t="str">
        <x:v>AI模型与机器学习</x:v>
      </x:c>
      <x:c r="E91" s="4" t="str">
        <x:v>本地证据分类</x:v>
      </x:c>
      <x:c r="F91" s="4" t="n">
        <x:v>1</x:v>
      </x:c>
      <x:c r="G91" s="4" t="str">
        <x:v>软件项目</x:v>
      </x:c>
      <x:c r="H91" s="4" t="str">
        <x:v>AI模型/推理</x:v>
      </x:c>
      <x:c r="I91" s="4" t="str">
        <x:v>当前页面未列入</x:v>
      </x:c>
      <x:c r="J91" s="4" t="str">
        <x:v>未记录</x:v>
      </x:c>
      <x:c r="K91" s="4" t="str">
        <x:v>未获取</x:v>
      </x:c>
      <x:c r="L91" s="4" t="str">
        <x:v>未记录</x:v>
      </x:c>
      <x:c r="M91" s="4" t="n">
        <x:v>0</x:v>
      </x:c>
      <x:c r="N91" s="4"/>
      <x:c r="O91" s="4"/>
      <x:c r="P91" s="9"/>
      <x:c r="Q91" s="4"/>
      <x:c r="R91" s="4" t="str">
        <x:v>项目名称/框架的明确功能定位；未逐一在线核验README</x:v>
      </x:c>
      <x:c r="S91" s="4" t="str">
        <x:v>GitHub月榜24-26</x:v>
      </x:c>
      <x:c r="T91" s="4" t="n">
        <x:v>89</x:v>
      </x:c>
      <x:c r="U91" s="4" t="str">
        <x:v>https://github.com/QwenLM/Qwen2.5</x:v>
      </x:c>
      <x:c r="V91" s="4" t="str">
        <x:v>qwenlm/qwen2.5</x:v>
      </x:c>
    </x:row>
    <x:row r="92" ht="44" customHeight="1">
      <x:c r="A92" s="4" t="n">
        <x:v>87</x:v>
      </x:c>
      <x:c r="B92" s="4" t="str">
        <x:v>Raphire/Win11Debloat</x:v>
      </x:c>
      <x:c r="C92" s="4" t="n">
        <x:v>2</x:v>
      </x:c>
      <x:c r="D92" s="4" t="str">
        <x:v>系统资源与原生互操作</x:v>
      </x:c>
      <x:c r="E92" s="4" t="str">
        <x:v>本地证据分类</x:v>
      </x:c>
      <x:c r="F92" s="4" t="n">
        <x:v>1</x:v>
      </x:c>
      <x:c r="G92" s="4" t="str">
        <x:v>软件项目</x:v>
      </x:c>
      <x:c r="H92" s="4" t="str">
        <x:v>原生/系统接口</x:v>
      </x:c>
      <x:c r="I92" s="4" t="str">
        <x:v>当前页面未列入</x:v>
      </x:c>
      <x:c r="J92" s="4" t="str">
        <x:v>未记录</x:v>
      </x:c>
      <x:c r="K92" s="4" t="str">
        <x:v>未获取</x:v>
      </x:c>
      <x:c r="L92" s="4" t="str">
        <x:v>未记录</x:v>
      </x:c>
      <x:c r="M92" s="4" t="n">
        <x:v>0</x:v>
      </x:c>
      <x:c r="N92" s="4"/>
      <x:c r="O92" s="4"/>
      <x:c r="P92" s="9"/>
      <x:c r="Q92" s="4"/>
      <x:c r="R92" s="4" t="str">
        <x:v>项目名称/框架的明确功能定位；未逐一在线核验README</x:v>
      </x:c>
      <x:c r="S92" s="4" t="str">
        <x:v>GitHub月榜24-26</x:v>
      </x:c>
      <x:c r="T92" s="4" t="n">
        <x:v>90</x:v>
      </x:c>
      <x:c r="U92" s="4" t="str">
        <x:v>https://github.com/Raphire/Win11Debloat</x:v>
      </x:c>
      <x:c r="V92" s="4" t="str">
        <x:v>raphire/win11debloat</x:v>
      </x:c>
    </x:row>
    <x:row r="93" ht="44" customHeight="1">
      <x:c r="A93" s="4" t="n">
        <x:v>88</x:v>
      </x:c>
      <x:c r="B93" s="4" t="str">
        <x:v>RockChinQ/QChatGPT</x:v>
      </x:c>
      <x:c r="C93" s="4" t="n">
        <x:v>13</x:v>
      </x:c>
      <x:c r="D93" s="4" t="str">
        <x:v>Agent编排与工具执行</x:v>
      </x:c>
      <x:c r="E93" s="4" t="str">
        <x:v>本地证据分类</x:v>
      </x:c>
      <x:c r="F93" s="4" t="n">
        <x:v>1</x:v>
      </x:c>
      <x:c r="G93" s="4" t="str">
        <x:v>软件项目</x:v>
      </x:c>
      <x:c r="H93" s="4" t="str">
        <x:v>Agent/模型与工具</x:v>
      </x:c>
      <x:c r="I93" s="4" t="str">
        <x:v>Agent 与 AI 应用</x:v>
      </x:c>
      <x:c r="J93" s="4" t="str">
        <x:v>Python</x:v>
      </x:c>
      <x:c r="K93" s="4" t="str">
        <x:v>未获取</x:v>
      </x:c>
      <x:c r="L93" s="4" t="str">
        <x:v>未记录</x:v>
      </x:c>
      <x:c r="M93" s="4" t="n">
        <x:v>71</x:v>
      </x:c>
      <x:c r="N93" s="4" t="n">
        <x:v>71</x:v>
      </x:c>
      <x:c r="O93" s="4" t="n">
        <x:v>46</x:v>
      </x:c>
      <x:c r="P93" s="9" t="n">
        <x:v>0.647887323943662</x:v>
      </x:c>
      <x:c r="Q93" s="4"/>
      <x:c r="R93" s="4" t="str">
        <x:v>项目名称/框架的明确功能定位；未逐一在线核验README</x:v>
      </x:c>
      <x:c r="S93" s="4" t="str">
        <x:v>GitHub月榜24-26</x:v>
      </x:c>
      <x:c r="T93" s="4" t="n">
        <x:v>91</x:v>
      </x:c>
      <x:c r="U93" s="4" t="str">
        <x:v>https://github.com/RockChinQ/QChatGPT</x:v>
      </x:c>
      <x:c r="V93" s="4" t="str">
        <x:v>rockchinq/qchatgpt</x:v>
      </x:c>
    </x:row>
    <x:row r="94" ht="44" customHeight="1">
      <x:c r="A94" s="4" t="n">
        <x:v>89</x:v>
      </x:c>
      <x:c r="B94" s="4" t="str">
        <x:v>SagerNet/sing-box</x:v>
      </x:c>
      <x:c r="C94" s="4" t="n">
        <x:v>3</x:v>
      </x:c>
      <x:c r="D94" s="4" t="str">
        <x:v>网络与通信协议</x:v>
      </x:c>
      <x:c r="E94" s="4" t="str">
        <x:v>本地证据分类</x:v>
      </x:c>
      <x:c r="F94" s="4" t="n">
        <x:v>1</x:v>
      </x:c>
      <x:c r="G94" s="4" t="str">
        <x:v>软件项目</x:v>
      </x:c>
      <x:c r="H94" s="4" t="str">
        <x:v>网络通信</x:v>
      </x:c>
      <x:c r="I94" s="4" t="str">
        <x:v>云原生、运维与安全</x:v>
      </x:c>
      <x:c r="J94" s="4" t="str">
        <x:v>Go</x:v>
      </x:c>
      <x:c r="K94" s="4" t="str">
        <x:v>未获取</x:v>
      </x:c>
      <x:c r="L94" s="4" t="str">
        <x:v>未记录</x:v>
      </x:c>
      <x:c r="M94" s="4" t="n">
        <x:v>191</x:v>
      </x:c>
      <x:c r="N94" s="4" t="n">
        <x:v>191</x:v>
      </x:c>
      <x:c r="O94" s="4" t="n">
        <x:v>0</x:v>
      </x:c>
      <x:c r="P94" s="9" t="n">
        <x:v>0</x:v>
      </x:c>
      <x:c r="Q94" s="4"/>
      <x:c r="R94" s="4" t="str">
        <x:v>项目名称/框架的明确功能定位；未逐一在线核验README</x:v>
      </x:c>
      <x:c r="S94" s="4" t="str">
        <x:v>GitHub月榜24-26</x:v>
      </x:c>
      <x:c r="T94" s="4" t="n">
        <x:v>92</x:v>
      </x:c>
      <x:c r="U94" s="4" t="str">
        <x:v>https://github.com/SagerNet/sing-box</x:v>
      </x:c>
      <x:c r="V94" s="4" t="str">
        <x:v>sagernet/sing-box</x:v>
      </x:c>
    </x:row>
    <x:row r="95" ht="44" customHeight="1">
      <x:c r="A95" s="4" t="n">
        <x:v>90</x:v>
      </x:c>
      <x:c r="B95" s="4" t="str">
        <x:v>Shubhamsaboo/awesome-llm-apps</x:v>
      </x:c>
      <x:c r="C95" s="4"/>
      <x:c r="D95" s="4" t="str">
        <x:v>未归入15类</x:v>
      </x:c>
      <x:c r="E95" s="4" t="str">
        <x:v>范围排除</x:v>
      </x:c>
      <x:c r="F95" s="4" t="n">
        <x:v>0</x:v>
      </x:c>
      <x:c r="G95" s="4" t="str">
        <x:v>教程/资源/技能资产</x:v>
      </x:c>
      <x:c r="H95" s="4" t="str">
        <x:v>知识/数据资产</x:v>
      </x:c>
      <x:c r="I95" s="4" t="str">
        <x:v>当前页面未列入</x:v>
      </x:c>
      <x:c r="J95" s="4" t="str">
        <x:v>未记录</x:v>
      </x:c>
      <x:c r="K95" s="4" t="str">
        <x:v>Python</x:v>
      </x:c>
      <x:c r="L95" s="4" t="str">
        <x:v>未记录</x:v>
      </x:c>
      <x:c r="M95" s="4" t="n">
        <x:v>0</x:v>
      </x:c>
      <x:c r="N95" s="4"/>
      <x:c r="O95" s="4"/>
      <x:c r="P95" s="9"/>
      <x:c r="Q95" s="4"/>
      <x:c r="R95" s="4" t="str">
        <x:v>按项目名称与已获取定位识别为知识、数据或技能资源；非独立软件能力证据</x:v>
      </x:c>
      <x:c r="S95" s="4" t="str">
        <x:v>GitHub月榜24-26</x:v>
      </x:c>
      <x:c r="T95" s="4" t="n">
        <x:v>93</x:v>
      </x:c>
      <x:c r="U95" s="4" t="str">
        <x:v>https://github.com/Shubhamsaboo/awesome-llm-apps</x:v>
      </x:c>
      <x:c r="V95" s="4" t="str">
        <x:v>shubhamsaboo/awesome-llm-apps</x:v>
      </x:c>
    </x:row>
    <x:row r="96" ht="44" customHeight="1">
      <x:c r="A96" s="4" t="n">
        <x:v>91</x:v>
      </x:c>
      <x:c r="B96" s="4" t="str">
        <x:v>Skyvern-AI/skyvern</x:v>
      </x:c>
      <x:c r="C96" s="4" t="n">
        <x:v>12</x:v>
      </x:c>
      <x:c r="D96" s="4" t="str">
        <x:v>办公软件与桌面操作自动化</x:v>
      </x:c>
      <x:c r="E96" s="4" t="str">
        <x:v>本地证据分类</x:v>
      </x:c>
      <x:c r="F96" s="4" t="n">
        <x:v>1</x:v>
      </x:c>
      <x:c r="G96" s="4" t="str">
        <x:v>软件项目</x:v>
      </x:c>
      <x:c r="H96" s="4" t="str">
        <x:v>办公/浏览器执行</x:v>
      </x:c>
      <x:c r="I96" s="4" t="str">
        <x:v>Agent 与 AI 应用</x:v>
      </x:c>
      <x:c r="J96" s="4" t="str">
        <x:v>Python</x:v>
      </x:c>
      <x:c r="K96" s="4" t="str">
        <x:v>未获取</x:v>
      </x:c>
      <x:c r="L96" s="4" t="str">
        <x:v>未记录</x:v>
      </x:c>
      <x:c r="M96" s="4" t="n">
        <x:v>10</x:v>
      </x:c>
      <x:c r="N96" s="4" t="n">
        <x:v>10</x:v>
      </x:c>
      <x:c r="O96" s="4" t="n">
        <x:v>10</x:v>
      </x:c>
      <x:c r="P96" s="9" t="n">
        <x:v>1</x:v>
      </x:c>
      <x:c r="Q96" s="4"/>
      <x:c r="R96" s="4" t="str">
        <x:v>项目名称/框架的明确功能定位；未逐一在线核验README</x:v>
      </x:c>
      <x:c r="S96" s="4" t="str">
        <x:v>GitHub月榜24-26</x:v>
      </x:c>
      <x:c r="T96" s="4" t="n">
        <x:v>94</x:v>
      </x:c>
      <x:c r="U96" s="4" t="str">
        <x:v>https://github.com/Skyvern-AI/skyvern</x:v>
      </x:c>
      <x:c r="V96" s="4" t="str">
        <x:v>skyvern-ai/skyvern</x:v>
      </x:c>
    </x:row>
    <x:row r="97" ht="44" customHeight="1">
      <x:c r="A97" s="4" t="n">
        <x:v>92</x:v>
      </x:c>
      <x:c r="B97" s="4" t="str">
        <x:v>THUDM/CogVideo</x:v>
      </x:c>
      <x:c r="C97" s="4" t="n">
        <x:v>11</x:v>
      </x:c>
      <x:c r="D97" s="4" t="str">
        <x:v>AI模型与机器学习</x:v>
      </x:c>
      <x:c r="E97" s="4" t="str">
        <x:v>本地证据分类</x:v>
      </x:c>
      <x:c r="F97" s="4" t="n">
        <x:v>1</x:v>
      </x:c>
      <x:c r="G97" s="4" t="str">
        <x:v>软件项目</x:v>
      </x:c>
      <x:c r="H97" s="4" t="str">
        <x:v>AI模型/推理</x:v>
      </x:c>
      <x:c r="I97" s="4" t="str">
        <x:v>多媒体与图形</x:v>
      </x:c>
      <x:c r="J97" s="4" t="str">
        <x:v>Python</x:v>
      </x:c>
      <x:c r="K97" s="4" t="str">
        <x:v>未获取</x:v>
      </x:c>
      <x:c r="L97" s="4" t="str">
        <x:v>未记录</x:v>
      </x:c>
      <x:c r="M97" s="4" t="n">
        <x:v>12</x:v>
      </x:c>
      <x:c r="N97" s="4" t="n">
        <x:v>12</x:v>
      </x:c>
      <x:c r="O97" s="4" t="n">
        <x:v>7</x:v>
      </x:c>
      <x:c r="P97" s="9" t="n">
        <x:v>0.5833333333333334</x:v>
      </x:c>
      <x:c r="Q97" s="4"/>
      <x:c r="R97" s="4" t="str">
        <x:v>项目名称/框架的明确功能定位；未逐一在线核验README</x:v>
      </x:c>
      <x:c r="S97" s="4" t="str">
        <x:v>GitHub月榜24-26</x:v>
      </x:c>
      <x:c r="T97" s="4" t="n">
        <x:v>95</x:v>
      </x:c>
      <x:c r="U97" s="4" t="str">
        <x:v>https://github.com/THUDM/CogVideo</x:v>
      </x:c>
      <x:c r="V97" s="4" t="str">
        <x:v>thudm/cogvideo</x:v>
      </x:c>
    </x:row>
    <x:row r="98" ht="44" customHeight="1">
      <x:c r="A98" s="4" t="n">
        <x:v>93</x:v>
      </x:c>
      <x:c r="B98" s="4" t="str">
        <x:v>TapXWorld/ChinaTextbook</x:v>
      </x:c>
      <x:c r="C98" s="4"/>
      <x:c r="D98" s="4" t="str">
        <x:v>未归入15类</x:v>
      </x:c>
      <x:c r="E98" s="4" t="str">
        <x:v>范围排除</x:v>
      </x:c>
      <x:c r="F98" s="4" t="n">
        <x:v>0</x:v>
      </x:c>
      <x:c r="G98" s="4" t="str">
        <x:v>教程/资源/技能资产</x:v>
      </x:c>
      <x:c r="H98" s="4" t="str">
        <x:v>知识/数据资产</x:v>
      </x:c>
      <x:c r="I98" s="4" t="str">
        <x:v>当前页面未列入</x:v>
      </x:c>
      <x:c r="J98" s="4" t="str">
        <x:v>未记录</x:v>
      </x:c>
      <x:c r="K98" s="4" t="str">
        <x:v>未获取</x:v>
      </x:c>
      <x:c r="L98" s="4" t="str">
        <x:v>未记录</x:v>
      </x:c>
      <x:c r="M98" s="4" t="n">
        <x:v>0</x:v>
      </x:c>
      <x:c r="N98" s="4"/>
      <x:c r="O98" s="4"/>
      <x:c r="P98" s="9"/>
      <x:c r="Q98" s="4"/>
      <x:c r="R98" s="4" t="str">
        <x:v>按项目名称与已获取定位识别为知识、数据或技能资源；非独立软件能力证据</x:v>
      </x:c>
      <x:c r="S98" s="4" t="str">
        <x:v>GitHub月榜24-26</x:v>
      </x:c>
      <x:c r="T98" s="4" t="n">
        <x:v>96</x:v>
      </x:c>
      <x:c r="U98" s="4" t="str">
        <x:v>https://github.com/TapXWorld/ChinaTextbook</x:v>
      </x:c>
      <x:c r="V98" s="4" t="str">
        <x:v>tapxworld/chinatextbook</x:v>
      </x:c>
    </x:row>
    <x:row r="99" ht="44" customHeight="1">
      <x:c r="A99" s="4" t="n">
        <x:v>94</x:v>
      </x:c>
      <x:c r="B99" s="4" t="str">
        <x:v>TauricResearch/TradingAgents</x:v>
      </x:c>
      <x:c r="C99" s="4" t="n">
        <x:v>13</x:v>
      </x:c>
      <x:c r="D99" s="4" t="str">
        <x:v>Agent编排与工具执行</x:v>
      </x:c>
      <x:c r="E99" s="4" t="str">
        <x:v>本地证据分类</x:v>
      </x:c>
      <x:c r="F99" s="4" t="n">
        <x:v>1</x:v>
      </x:c>
      <x:c r="G99" s="4" t="str">
        <x:v>软件项目</x:v>
      </x:c>
      <x:c r="H99" s="4" t="str">
        <x:v>Agent/模型与工具</x:v>
      </x:c>
      <x:c r="I99" s="4" t="str">
        <x:v>数据分析与科学计算</x:v>
      </x:c>
      <x:c r="J99" s="4" t="str">
        <x:v>Python</x:v>
      </x:c>
      <x:c r="K99" s="4" t="str">
        <x:v>未获取</x:v>
      </x:c>
      <x:c r="L99" s="4" t="str">
        <x:v>未记录</x:v>
      </x:c>
      <x:c r="M99" s="4" t="n">
        <x:v>20</x:v>
      </x:c>
      <x:c r="N99" s="4" t="n">
        <x:v>20</x:v>
      </x:c>
      <x:c r="O99" s="4" t="n">
        <x:v>12</x:v>
      </x:c>
      <x:c r="P99" s="9" t="n">
        <x:v>0.6</x:v>
      </x:c>
      <x:c r="Q99" s="4"/>
      <x:c r="R99" s="4" t="str">
        <x:v>项目名称/框架的明确功能定位；未逐一在线核验README</x:v>
      </x:c>
      <x:c r="S99" s="4" t="str">
        <x:v>GitHub月榜24-26</x:v>
      </x:c>
      <x:c r="T99" s="4" t="n">
        <x:v>97</x:v>
      </x:c>
      <x:c r="U99" s="4" t="str">
        <x:v>https://github.com/TauricResearch/TradingAgents</x:v>
      </x:c>
      <x:c r="V99" s="4" t="str">
        <x:v>tauricresearch/tradingagents</x:v>
      </x:c>
    </x:row>
    <x:row r="100" ht="44" customHeight="1">
      <x:c r="A100" s="4" t="n">
        <x:v>95</x:v>
      </x:c>
      <x:c r="B100" s="4" t="str">
        <x:v>TencentCloud/TencentDB-Agent-Memory</x:v>
      </x:c>
      <x:c r="C100" s="4" t="n">
        <x:v>13</x:v>
      </x:c>
      <x:c r="D100" s="4" t="str">
        <x:v>Agent编排与工具执行</x:v>
      </x:c>
      <x:c r="E100" s="4" t="str">
        <x:v>本地证据分类</x:v>
      </x:c>
      <x:c r="F100" s="4" t="n">
        <x:v>1</x:v>
      </x:c>
      <x:c r="G100" s="4" t="str">
        <x:v>软件项目</x:v>
      </x:c>
      <x:c r="H100" s="4" t="str">
        <x:v>Agent/模型与工具</x:v>
      </x:c>
      <x:c r="I100" s="4" t="str">
        <x:v>当前页面未列入</x:v>
      </x:c>
      <x:c r="J100" s="4" t="str">
        <x:v>未记录</x:v>
      </x:c>
      <x:c r="K100" s="4" t="str">
        <x:v>未获取</x:v>
      </x:c>
      <x:c r="L100" s="4" t="str">
        <x:v>未记录</x:v>
      </x:c>
      <x:c r="M100" s="4" t="n">
        <x:v>0</x:v>
      </x:c>
      <x:c r="N100" s="4"/>
      <x:c r="O100" s="4"/>
      <x:c r="P100" s="9"/>
      <x:c r="Q100" s="4"/>
      <x:c r="R100" s="4" t="str">
        <x:v>项目名称/框架的明确功能定位；未逐一在线核验README</x:v>
      </x:c>
      <x:c r="S100" s="4" t="str">
        <x:v>GitHub月榜24-26</x:v>
      </x:c>
      <x:c r="T100" s="4" t="n">
        <x:v>98</x:v>
      </x:c>
      <x:c r="U100" s="4" t="str">
        <x:v>https://github.com/TencentCloud/TencentDB-Agent-Memory</x:v>
      </x:c>
      <x:c r="V100" s="4" t="str">
        <x:v>tencentcloud/tencentdb-agent-memory</x:v>
      </x:c>
    </x:row>
    <x:row r="101" ht="44" customHeight="1">
      <x:c r="A101" s="4" t="n">
        <x:v>96</x:v>
      </x:c>
      <x:c r="B101" s="4" t="str">
        <x:v>ToolJet/ToolJet</x:v>
      </x:c>
      <x:c r="C101" s="4" t="n">
        <x:v>6</x:v>
      </x:c>
      <x:c r="D101" s="4" t="str">
        <x:v>后端服务与业务流程</x:v>
      </x:c>
      <x:c r="E101" s="4" t="str">
        <x:v>本地证据分类</x:v>
      </x:c>
      <x:c r="F101" s="4" t="n">
        <x:v>1</x:v>
      </x:c>
      <x:c r="G101" s="4" t="str">
        <x:v>软件项目</x:v>
      </x:c>
      <x:c r="H101" s="4" t="str">
        <x:v>业务应用/确定性工作流</x:v>
      </x:c>
      <x:c r="I101" s="4" t="str">
        <x:v>桌面、TUI 与跨端应用</x:v>
      </x:c>
      <x:c r="J101" s="4" t="str">
        <x:v>JavaScript/TypeScript</x:v>
      </x:c>
      <x:c r="K101" s="4" t="str">
        <x:v>未获取</x:v>
      </x:c>
      <x:c r="L101" s="4" t="str">
        <x:v>未记录</x:v>
      </x:c>
      <x:c r="M101" s="4" t="n">
        <x:v>1</x:v>
      </x:c>
      <x:c r="N101" s="4" t="n">
        <x:v>1</x:v>
      </x:c>
      <x:c r="O101" s="4" t="n">
        <x:v>0</x:v>
      </x:c>
      <x:c r="P101" s="9" t="n">
        <x:v>0</x:v>
      </x:c>
      <x:c r="Q101" s="4"/>
      <x:c r="R101" s="4" t="str">
        <x:v>项目名称/框架的明确功能定位；未逐一在线核验README</x:v>
      </x:c>
      <x:c r="S101" s="4" t="str">
        <x:v>GitHub月榜24-26</x:v>
      </x:c>
      <x:c r="T101" s="4" t="n">
        <x:v>99</x:v>
      </x:c>
      <x:c r="U101" s="4" t="str">
        <x:v>https://github.com/ToolJet/ToolJet</x:v>
      </x:c>
      <x:c r="V101" s="4" t="str">
        <x:v>tooljet/tooljet</x:v>
      </x:c>
    </x:row>
    <x:row r="102" ht="44" customHeight="1">
      <x:c r="A102" s="4" t="n">
        <x:v>97</x:v>
      </x:c>
      <x:c r="B102" s="4" t="str">
        <x:v>VectifyAI/PageIndex</x:v>
      </x:c>
      <x:c r="C102" s="4" t="n">
        <x:v>5</x:v>
      </x:c>
      <x:c r="D102" s="4" t="str">
        <x:v>数据库、存储与检索</x:v>
      </x:c>
      <x:c r="E102" s="4" t="str">
        <x:v>本地证据分类</x:v>
      </x:c>
      <x:c r="F102" s="4" t="n">
        <x:v>1</x:v>
      </x:c>
      <x:c r="G102" s="4" t="str">
        <x:v>软件项目</x:v>
      </x:c>
      <x:c r="H102" s="4" t="str">
        <x:v>数据服务</x:v>
      </x:c>
      <x:c r="I102" s="4" t="str">
        <x:v>Agent 与 AI 应用</x:v>
      </x:c>
      <x:c r="J102" s="4" t="str">
        <x:v>Python</x:v>
      </x:c>
      <x:c r="K102" s="4" t="str">
        <x:v>未获取</x:v>
      </x:c>
      <x:c r="L102" s="4" t="str">
        <x:v>未记录</x:v>
      </x:c>
      <x:c r="M102" s="4" t="n">
        <x:v>21</x:v>
      </x:c>
      <x:c r="N102" s="4" t="n">
        <x:v>21</x:v>
      </x:c>
      <x:c r="O102" s="4" t="n">
        <x:v>7</x:v>
      </x:c>
      <x:c r="P102" s="9" t="n">
        <x:v>0.3333333333333333</x:v>
      </x:c>
      <x:c r="Q102" s="4"/>
      <x:c r="R102" s="4" t="str">
        <x:v>项目名称/框架的明确功能定位；未逐一在线核验README</x:v>
      </x:c>
      <x:c r="S102" s="4" t="str">
        <x:v>GitHub月榜24-26</x:v>
      </x:c>
      <x:c r="T102" s="4" t="n">
        <x:v>100</x:v>
      </x:c>
      <x:c r="U102" s="4" t="str">
        <x:v>https://github.com/VectifyAI/PageIndex</x:v>
      </x:c>
      <x:c r="V102" s="4" t="str">
        <x:v>vectifyai/pageindex</x:v>
      </x:c>
    </x:row>
    <x:row r="103" ht="44" customHeight="1">
      <x:c r="A103" s="4" t="n">
        <x:v>98</x:v>
      </x:c>
      <x:c r="B103" s="4" t="str">
        <x:v>VikParuchuri/marker</x:v>
      </x:c>
      <x:c r="C103" s="4" t="n">
        <x:v>10</x:v>
      </x:c>
      <x:c r="D103" s="4" t="str">
        <x:v>文档与办公数据处理</x:v>
      </x:c>
      <x:c r="E103" s="4" t="str">
        <x:v>本地证据分类</x:v>
      </x:c>
      <x:c r="F103" s="4" t="n">
        <x:v>1</x:v>
      </x:c>
      <x:c r="G103" s="4" t="str">
        <x:v>软件项目</x:v>
      </x:c>
      <x:c r="H103" s="4" t="str">
        <x:v>文档/知识内容</x:v>
      </x:c>
      <x:c r="I103" s="4" t="str">
        <x:v>办公文档与知识管理</x:v>
      </x:c>
      <x:c r="J103" s="4" t="str">
        <x:v>Python</x:v>
      </x:c>
      <x:c r="K103" s="4" t="str">
        <x:v>未获取</x:v>
      </x:c>
      <x:c r="L103" s="4" t="str">
        <x:v>未记录</x:v>
      </x:c>
      <x:c r="M103" s="4" t="n">
        <x:v>21</x:v>
      </x:c>
      <x:c r="N103" s="4" t="n">
        <x:v>21</x:v>
      </x:c>
      <x:c r="O103" s="4" t="n">
        <x:v>14</x:v>
      </x:c>
      <x:c r="P103" s="9" t="n">
        <x:v>0.6666666666666666</x:v>
      </x:c>
      <x:c r="Q103" s="4"/>
      <x:c r="R103" s="4" t="str">
        <x:v>项目名称/框架的明确功能定位；未逐一在线核验README</x:v>
      </x:c>
      <x:c r="S103" s="4" t="str">
        <x:v>GitHub月榜24-26</x:v>
      </x:c>
      <x:c r="T103" s="4" t="n">
        <x:v>101</x:v>
      </x:c>
      <x:c r="U103" s="4" t="str">
        <x:v>https://github.com/VikParuchuri/marker</x:v>
      </x:c>
      <x:c r="V103" s="4" t="str">
        <x:v>vikparuchuri/marker</x:v>
      </x:c>
    </x:row>
    <x:row r="104" ht="44" customHeight="1">
      <x:c r="A104" s="4" t="n">
        <x:v>99</x:v>
      </x:c>
      <x:c r="B104" s="4" t="str">
        <x:v>Wei-Shaw/sub2api</x:v>
      </x:c>
      <x:c r="C104" s="4" t="n">
        <x:v>11</x:v>
      </x:c>
      <x:c r="D104" s="4" t="str">
        <x:v>AI模型与机器学习</x:v>
      </x:c>
      <x:c r="E104" s="4" t="str">
        <x:v>本地证据分类</x:v>
      </x:c>
      <x:c r="F104" s="4" t="n">
        <x:v>1</x:v>
      </x:c>
      <x:c r="G104" s="4" t="str">
        <x:v>软件项目</x:v>
      </x:c>
      <x:c r="H104" s="4" t="str">
        <x:v>AI模型/推理</x:v>
      </x:c>
      <x:c r="I104" s="4" t="str">
        <x:v>当前页面未列入</x:v>
      </x:c>
      <x:c r="J104" s="4" t="str">
        <x:v>未记录</x:v>
      </x:c>
      <x:c r="K104" s="4" t="str">
        <x:v>未获取</x:v>
      </x:c>
      <x:c r="L104" s="4" t="str">
        <x:v>未记录</x:v>
      </x:c>
      <x:c r="M104" s="4" t="n">
        <x:v>0</x:v>
      </x:c>
      <x:c r="N104" s="4"/>
      <x:c r="O104" s="4"/>
      <x:c r="P104" s="9"/>
      <x:c r="Q104" s="4"/>
      <x:c r="R104" s="4" t="str">
        <x:v>项目名称/框架的明确功能定位；未逐一在线核验README</x:v>
      </x:c>
      <x:c r="S104" s="4" t="str">
        <x:v>GitHub月榜24-26</x:v>
      </x:c>
      <x:c r="T104" s="4" t="n">
        <x:v>102</x:v>
      </x:c>
      <x:c r="U104" s="4" t="str">
        <x:v>https://github.com/Wei-Shaw/sub2api</x:v>
      </x:c>
      <x:c r="V104" s="4" t="str">
        <x:v>wei-shaw/sub2api</x:v>
      </x:c>
    </x:row>
    <x:row r="105" ht="44" customHeight="1">
      <x:c r="A105" s="4" t="n">
        <x:v>100</x:v>
      </x:c>
      <x:c r="B105" s="4" t="str">
        <x:v>XiaoMi/ha_xiaomi_home</x:v>
      </x:c>
      <x:c r="C105" s="4"/>
      <x:c r="D105" s="4" t="str">
        <x:v>未归入15类</x:v>
      </x:c>
      <x:c r="E105" s="4" t="str">
        <x:v>范围待决</x:v>
      </x:c>
      <x:c r="F105" s="4" t="n">
        <x:v>1</x:v>
      </x:c>
      <x:c r="G105" s="4" t="str">
        <x:v>软件项目</x:v>
      </x:c>
      <x:c r="H105" s="4" t="str">
        <x:v>IoT/机器人/工业控制</x:v>
      </x:c>
      <x:c r="I105" s="4" t="str">
        <x:v>当前页面未列入</x:v>
      </x:c>
      <x:c r="J105" s="4" t="str">
        <x:v>未记录</x:v>
      </x:c>
      <x:c r="K105" s="4" t="str">
        <x:v>未获取</x:v>
      </x:c>
      <x:c r="L105" s="4" t="str">
        <x:v>未记录</x:v>
      </x:c>
      <x:c r="M105" s="4" t="n">
        <x:v>0</x:v>
      </x:c>
      <x:c r="N105" s="4"/>
      <x:c r="O105" s="4"/>
      <x:c r="P105" s="9"/>
      <x:c r="Q105" s="4"/>
      <x:c r="R105" s="4" t="str">
        <x:v>设备控制、机器人或区块链具有独立领域语义，当前15类需跨类组合及行业标签</x:v>
      </x:c>
      <x:c r="S105" s="4" t="str">
        <x:v>GitHub月榜24-26</x:v>
      </x:c>
      <x:c r="T105" s="4" t="n">
        <x:v>103</x:v>
      </x:c>
      <x:c r="U105" s="4" t="str">
        <x:v>https://github.com/XiaoMi/ha_xiaomi_home</x:v>
      </x:c>
      <x:c r="V105" s="4" t="str">
        <x:v>xiaomi/ha_xiaomi_home</x:v>
      </x:c>
    </x:row>
    <x:row r="106" ht="44" customHeight="1">
      <x:c r="A106" s="4" t="n">
        <x:v>101</x:v>
      </x:c>
      <x:c r="B106" s="4" t="str">
        <x:v>Yeachan-Heo/oh-my-claudecode</x:v>
      </x:c>
      <x:c r="C106" s="4" t="n">
        <x:v>14</x:v>
      </x:c>
      <x:c r="D106" s="4" t="str">
        <x:v>软件构建、开发与测试</x:v>
      </x:c>
      <x:c r="E106" s="4" t="str">
        <x:v>本地证据分类</x:v>
      </x:c>
      <x:c r="F106" s="4" t="n">
        <x:v>1</x:v>
      </x:c>
      <x:c r="G106" s="4" t="str">
        <x:v>软件项目</x:v>
      </x:c>
      <x:c r="H106" s="4" t="str">
        <x:v>软件工程；编程Agent需额外挂13标签</x:v>
      </x:c>
      <x:c r="I106" s="4" t="str">
        <x:v>Agent 与 AI 应用</x:v>
      </x:c>
      <x:c r="J106" s="4" t="str">
        <x:v>JavaScript/TypeScript</x:v>
      </x:c>
      <x:c r="K106" s="4" t="str">
        <x:v>未获取</x:v>
      </x:c>
      <x:c r="L106" s="4" t="str">
        <x:v>未记录</x:v>
      </x:c>
      <x:c r="M106" s="4" t="n">
        <x:v>12</x:v>
      </x:c>
      <x:c r="N106" s="4" t="n">
        <x:v>12</x:v>
      </x:c>
      <x:c r="O106" s="4" t="n">
        <x:v>8</x:v>
      </x:c>
      <x:c r="P106" s="9" t="n">
        <x:v>0.6666666666666666</x:v>
      </x:c>
      <x:c r="Q106" s="4"/>
      <x:c r="R106" s="4" t="str">
        <x:v>项目名称/框架的明确功能定位；未逐一在线核验README</x:v>
      </x:c>
      <x:c r="S106" s="4" t="str">
        <x:v>GitHub月榜24-26</x:v>
      </x:c>
      <x:c r="T106" s="4" t="n">
        <x:v>104</x:v>
      </x:c>
      <x:c r="U106" s="4" t="str">
        <x:v>https://github.com/Yeachan-Heo/oh-my-claudecode</x:v>
      </x:c>
      <x:c r="V106" s="4" t="str">
        <x:v>yeachan-heo/oh-my-claudecode</x:v>
      </x:c>
    </x:row>
    <x:row r="107" ht="44" customHeight="1">
      <x:c r="A107" s="4" t="n">
        <x:v>102</x:v>
      </x:c>
      <x:c r="B107" s="4" t="str">
        <x:v>Yeachan-Heo/oh-my-codex</x:v>
      </x:c>
      <x:c r="C107" s="4" t="n">
        <x:v>14</x:v>
      </x:c>
      <x:c r="D107" s="4" t="str">
        <x:v>软件构建、开发与测试</x:v>
      </x:c>
      <x:c r="E107" s="4" t="str">
        <x:v>本地证据分类</x:v>
      </x:c>
      <x:c r="F107" s="4" t="n">
        <x:v>1</x:v>
      </x:c>
      <x:c r="G107" s="4" t="str">
        <x:v>软件项目</x:v>
      </x:c>
      <x:c r="H107" s="4" t="str">
        <x:v>软件工程；编程Agent需额外挂13标签</x:v>
      </x:c>
      <x:c r="I107" s="4" t="str">
        <x:v>行业与其他应用</x:v>
      </x:c>
      <x:c r="J107" s="4" t="str">
        <x:v>JavaScript/TypeScript</x:v>
      </x:c>
      <x:c r="K107" s="4" t="str">
        <x:v>未获取</x:v>
      </x:c>
      <x:c r="L107" s="4" t="str">
        <x:v>未记录</x:v>
      </x:c>
      <x:c r="M107" s="4" t="n">
        <x:v>7</x:v>
      </x:c>
      <x:c r="N107" s="4" t="n">
        <x:v>7</x:v>
      </x:c>
      <x:c r="O107" s="4" t="n">
        <x:v>7</x:v>
      </x:c>
      <x:c r="P107" s="9" t="n">
        <x:v>1</x:v>
      </x:c>
      <x:c r="Q107" s="4"/>
      <x:c r="R107" s="4" t="str">
        <x:v>项目名称/框架的明确功能定位；未逐一在线核验README</x:v>
      </x:c>
      <x:c r="S107" s="4" t="str">
        <x:v>GitHub月榜24-26</x:v>
      </x:c>
      <x:c r="T107" s="4" t="n">
        <x:v>105</x:v>
      </x:c>
      <x:c r="U107" s="4" t="str">
        <x:v>https://github.com/Yeachan-Heo/oh-my-codex</x:v>
      </x:c>
      <x:c r="V107" s="4" t="str">
        <x:v>yeachan-heo/oh-my-codex</x:v>
      </x:c>
    </x:row>
    <x:row r="108" ht="44" customHeight="1">
      <x:c r="A108" s="4" t="n">
        <x:v>103</x:v>
      </x:c>
      <x:c r="B108" s="4" t="str">
        <x:v>Z4nzu/hackingtool</x:v>
      </x:c>
      <x:c r="C108" s="4" t="n">
        <x:v>4</x:v>
      </x:c>
      <x:c r="D108" s="4" t="str">
        <x:v>安全与身份认证</x:v>
      </x:c>
      <x:c r="E108" s="4" t="str">
        <x:v>本地证据分类</x:v>
      </x:c>
      <x:c r="F108" s="4" t="n">
        <x:v>1</x:v>
      </x:c>
      <x:c r="G108" s="4" t="str">
        <x:v>软件项目</x:v>
      </x:c>
      <x:c r="H108" s="4" t="str">
        <x:v>安全审计</x:v>
      </x:c>
      <x:c r="I108" s="4" t="str">
        <x:v>云原生、运维与安全</x:v>
      </x:c>
      <x:c r="J108" s="4" t="str">
        <x:v>Python</x:v>
      </x:c>
      <x:c r="K108" s="4" t="str">
        <x:v>未获取</x:v>
      </x:c>
      <x:c r="L108" s="4" t="str">
        <x:v>未记录</x:v>
      </x:c>
      <x:c r="M108" s="4" t="n">
        <x:v>5</x:v>
      </x:c>
      <x:c r="N108" s="4" t="n">
        <x:v>5</x:v>
      </x:c>
      <x:c r="O108" s="4" t="n">
        <x:v>3</x:v>
      </x:c>
      <x:c r="P108" s="9" t="n">
        <x:v>0.6</x:v>
      </x:c>
      <x:c r="Q108" s="4"/>
      <x:c r="R108" s="4" t="str">
        <x:v>项目名称/框架的明确功能定位；未逐一在线核验README</x:v>
      </x:c>
      <x:c r="S108" s="4" t="str">
        <x:v>GitHub月榜24-26</x:v>
      </x:c>
      <x:c r="T108" s="4" t="n">
        <x:v>106</x:v>
      </x:c>
      <x:c r="U108" s="4" t="str">
        <x:v>https://github.com/Z4nzu/hackingtool</x:v>
      </x:c>
      <x:c r="V108" s="4" t="str">
        <x:v>z4nzu/hackingtool</x:v>
      </x:c>
    </x:row>
    <x:row r="109" ht="44" customHeight="1">
      <x:c r="A109" s="4" t="n">
        <x:v>104</x:v>
      </x:c>
      <x:c r="B109" s="4" t="str">
        <x:v>ZachGoldberg/Startup-CTO-Handbook</x:v>
      </x:c>
      <x:c r="C109" s="4"/>
      <x:c r="D109" s="4" t="str">
        <x:v>未归入15类</x:v>
      </x:c>
      <x:c r="E109" s="4" t="str">
        <x:v>范围排除</x:v>
      </x:c>
      <x:c r="F109" s="4" t="n">
        <x:v>0</x:v>
      </x:c>
      <x:c r="G109" s="4" t="str">
        <x:v>教程/资源/技能资产</x:v>
      </x:c>
      <x:c r="H109" s="4" t="str">
        <x:v>知识/数据资产</x:v>
      </x:c>
      <x:c r="I109" s="4" t="str">
        <x:v>当前页面未列入</x:v>
      </x:c>
      <x:c r="J109" s="4" t="str">
        <x:v>未记录</x:v>
      </x:c>
      <x:c r="K109" s="4" t="str">
        <x:v>未获取</x:v>
      </x:c>
      <x:c r="L109" s="4" t="str">
        <x:v>未记录</x:v>
      </x:c>
      <x:c r="M109" s="4" t="n">
        <x:v>0</x:v>
      </x:c>
      <x:c r="N109" s="4"/>
      <x:c r="O109" s="4"/>
      <x:c r="P109" s="9"/>
      <x:c r="Q109" s="4"/>
      <x:c r="R109" s="4" t="str">
        <x:v>按项目名称与已获取定位识别为知识、数据或技能资源；非独立软件能力证据</x:v>
      </x:c>
      <x:c r="S109" s="4" t="str">
        <x:v>GitHub月榜24-26</x:v>
      </x:c>
      <x:c r="T109" s="4" t="n">
        <x:v>107</x:v>
      </x:c>
      <x:c r="U109" s="4" t="str">
        <x:v>https://github.com/ZachGoldberg/Startup-CTO-Handbook</x:v>
      </x:c>
      <x:c r="V109" s="4" t="str">
        <x:v>zachgoldberg/startup-cto-handbook</x:v>
      </x:c>
    </x:row>
    <x:row r="110" ht="44" customHeight="1">
      <x:c r="A110" s="4" t="n">
        <x:v>105</x:v>
      </x:c>
      <x:c r="B110" s="4" t="str">
        <x:v>Zackriya-Solutions/meetily</x:v>
      </x:c>
      <x:c r="C110" s="4"/>
      <x:c r="D110" s="4" t="str">
        <x:v>未归入15类</x:v>
      </x:c>
      <x:c r="E110" s="4" t="str">
        <x:v>信息不足</x:v>
      </x:c>
      <x:c r="F110" s="4" t="n">
        <x:v>1</x:v>
      </x:c>
      <x:c r="G110" s="4" t="str">
        <x:v>待确认项目</x:v>
      </x:c>
      <x:c r="H110" s="4" t="str"/>
      <x:c r="I110" s="4" t="str">
        <x:v>当前页面未列入</x:v>
      </x:c>
      <x:c r="J110" s="4" t="str">
        <x:v>未记录</x:v>
      </x:c>
      <x:c r="K110" s="4" t="str">
        <x:v>未获取</x:v>
      </x:c>
      <x:c r="L110" s="4" t="str">
        <x:v>未记录</x:v>
      </x:c>
      <x:c r="M110" s="4" t="n">
        <x:v>0</x:v>
      </x:c>
      <x:c r="N110" s="4"/>
      <x:c r="O110" s="4"/>
      <x:c r="P110" s="9"/>
      <x:c r="Q110" s="4"/>
      <x:c r="R110" s="4" t="str">
        <x:v>缺少明确功能描述，不按依赖或语言强行归类</x:v>
      </x:c>
      <x:c r="S110" s="4" t="str">
        <x:v>GitHub月榜24-26</x:v>
      </x:c>
      <x:c r="T110" s="4" t="n">
        <x:v>108</x:v>
      </x:c>
      <x:c r="U110" s="4" t="str">
        <x:v>https://github.com/Zackriya-Solutions/meetily</x:v>
      </x:c>
      <x:c r="V110" s="4" t="str">
        <x:v>zackriya-solutions/meetily</x:v>
      </x:c>
    </x:row>
    <x:row r="111" ht="44" customHeight="1">
      <x:c r="A111" s="4" t="n">
        <x:v>106</x:v>
      </x:c>
      <x:c r="B111" s="4" t="str">
        <x:v>Zie619/n8n-workflows</x:v>
      </x:c>
      <x:c r="C111" s="4"/>
      <x:c r="D111" s="4" t="str">
        <x:v>未归入15类</x:v>
      </x:c>
      <x:c r="E111" s="4" t="str">
        <x:v>范围排除</x:v>
      </x:c>
      <x:c r="F111" s="4" t="n">
        <x:v>0</x:v>
      </x:c>
      <x:c r="G111" s="4" t="str">
        <x:v>教程/资源/技能资产</x:v>
      </x:c>
      <x:c r="H111" s="4" t="str">
        <x:v>知识/数据资产</x:v>
      </x:c>
      <x:c r="I111" s="4" t="str">
        <x:v>Web 与业务服务</x:v>
      </x:c>
      <x:c r="J111" s="4" t="str">
        <x:v>Python</x:v>
      </x:c>
      <x:c r="K111" s="4" t="str">
        <x:v>未获取</x:v>
      </x:c>
      <x:c r="L111" s="4" t="str">
        <x:v>未记录</x:v>
      </x:c>
      <x:c r="M111" s="4" t="n">
        <x:v>9</x:v>
      </x:c>
      <x:c r="N111" s="4" t="n">
        <x:v>9</x:v>
      </x:c>
      <x:c r="O111" s="4" t="n">
        <x:v>8</x:v>
      </x:c>
      <x:c r="P111" s="9" t="n">
        <x:v>0.8888888888888888</x:v>
      </x:c>
      <x:c r="Q111" s="4"/>
      <x:c r="R111" s="4" t="str">
        <x:v>按项目名称与已获取定位识别为知识、数据或技能资源；非独立软件能力证据</x:v>
      </x:c>
      <x:c r="S111" s="4" t="str">
        <x:v>GitHub月榜24-26</x:v>
      </x:c>
      <x:c r="T111" s="4" t="n">
        <x:v>109</x:v>
      </x:c>
      <x:c r="U111" s="4" t="str">
        <x:v>https://github.com/Zie619/n8n-workflows</x:v>
      </x:c>
      <x:c r="V111" s="4" t="str">
        <x:v>zie619/n8n-workflows</x:v>
      </x:c>
    </x:row>
    <x:row r="112" ht="44" customHeight="1">
      <x:c r="A112" s="4" t="n">
        <x:v>107</x:v>
      </x:c>
      <x:c r="B112" s="4" t="str">
        <x:v>abi/screenshot-to-code</x:v>
      </x:c>
      <x:c r="C112" s="4" t="n">
        <x:v>14</x:v>
      </x:c>
      <x:c r="D112" s="4" t="str">
        <x:v>软件构建、开发与测试</x:v>
      </x:c>
      <x:c r="E112" s="4" t="str">
        <x:v>本地证据分类</x:v>
      </x:c>
      <x:c r="F112" s="4" t="n">
        <x:v>1</x:v>
      </x:c>
      <x:c r="G112" s="4" t="str">
        <x:v>软件项目</x:v>
      </x:c>
      <x:c r="H112" s="4" t="str">
        <x:v>软件工程；编程Agent需额外挂13标签</x:v>
      </x:c>
      <x:c r="I112" s="4" t="str">
        <x:v>当前页面未列入</x:v>
      </x:c>
      <x:c r="J112" s="4" t="str">
        <x:v>未记录</x:v>
      </x:c>
      <x:c r="K112" s="4" t="str">
        <x:v>未获取</x:v>
      </x:c>
      <x:c r="L112" s="4" t="str">
        <x:v>未记录</x:v>
      </x:c>
      <x:c r="M112" s="4" t="n">
        <x:v>0</x:v>
      </x:c>
      <x:c r="N112" s="4"/>
      <x:c r="O112" s="4"/>
      <x:c r="P112" s="9"/>
      <x:c r="Q112" s="4"/>
      <x:c r="R112" s="4" t="str">
        <x:v>项目名称/框架的明确功能定位；未逐一在线核验README</x:v>
      </x:c>
      <x:c r="S112" s="4" t="str">
        <x:v>GitHub月榜24-26</x:v>
      </x:c>
      <x:c r="T112" s="4" t="n">
        <x:v>110</x:v>
      </x:c>
      <x:c r="U112" s="4" t="str">
        <x:v>https://github.com/abi/screenshot-to-code</x:v>
      </x:c>
      <x:c r="V112" s="4" t="str">
        <x:v>abi/screenshot-to-code</x:v>
      </x:c>
    </x:row>
    <x:row r="113" ht="44" customHeight="1">
      <x:c r="A113" s="4" t="n">
        <x:v>108</x:v>
      </x:c>
      <x:c r="B113" s="4" t="str">
        <x:v>activepieces/activepieces</x:v>
      </x:c>
      <x:c r="C113" s="4" t="n">
        <x:v>6</x:v>
      </x:c>
      <x:c r="D113" s="4" t="str">
        <x:v>后端服务与业务流程</x:v>
      </x:c>
      <x:c r="E113" s="4" t="str">
        <x:v>本地证据分类</x:v>
      </x:c>
      <x:c r="F113" s="4" t="n">
        <x:v>1</x:v>
      </x:c>
      <x:c r="G113" s="4" t="str">
        <x:v>软件项目</x:v>
      </x:c>
      <x:c r="H113" s="4" t="str">
        <x:v>业务应用/确定性工作流</x:v>
      </x:c>
      <x:c r="I113" s="4" t="str">
        <x:v>Web 与业务服务</x:v>
      </x:c>
      <x:c r="J113" s="4" t="str">
        <x:v>JavaScript/TypeScript</x:v>
      </x:c>
      <x:c r="K113" s="4" t="str">
        <x:v>未获取</x:v>
      </x:c>
      <x:c r="L113" s="4" t="str">
        <x:v>未记录</x:v>
      </x:c>
      <x:c r="M113" s="4" t="n">
        <x:v>14</x:v>
      </x:c>
      <x:c r="N113" s="4" t="n">
        <x:v>14</x:v>
      </x:c>
      <x:c r="O113" s="4" t="n">
        <x:v>13</x:v>
      </x:c>
      <x:c r="P113" s="9" t="n">
        <x:v>0.9285714285714286</x:v>
      </x:c>
      <x:c r="Q113" s="4"/>
      <x:c r="R113" s="4" t="str">
        <x:v>项目名称/框架的明确功能定位；未逐一在线核验README</x:v>
      </x:c>
      <x:c r="S113" s="4" t="str">
        <x:v>GitHub月榜24-26</x:v>
      </x:c>
      <x:c r="T113" s="4" t="n">
        <x:v>111</x:v>
      </x:c>
      <x:c r="U113" s="4" t="str">
        <x:v>https://github.com/activepieces/activepieces</x:v>
      </x:c>
      <x:c r="V113" s="4" t="str">
        <x:v>activepieces/activepieces</x:v>
      </x:c>
    </x:row>
    <x:row r="114" ht="44" customHeight="1">
      <x:c r="A114" s="4" t="n">
        <x:v>109</x:v>
      </x:c>
      <x:c r="B114" s="4" t="str">
        <x:v>addyosmani/agent-skills</x:v>
      </x:c>
      <x:c r="C114" s="4"/>
      <x:c r="D114" s="4" t="str">
        <x:v>未归入15类</x:v>
      </x:c>
      <x:c r="E114" s="4" t="str">
        <x:v>范围排除</x:v>
      </x:c>
      <x:c r="F114" s="4" t="n">
        <x:v>0</x:v>
      </x:c>
      <x:c r="G114" s="4" t="str">
        <x:v>教程/资源/技能资产</x:v>
      </x:c>
      <x:c r="H114" s="4" t="str">
        <x:v>Agent资源（不等于运行时）</x:v>
      </x:c>
      <x:c r="I114" s="4" t="str">
        <x:v>当前页面未列入</x:v>
      </x:c>
      <x:c r="J114" s="4" t="str">
        <x:v>未记录</x:v>
      </x:c>
      <x:c r="K114" s="4" t="str">
        <x:v>未获取</x:v>
      </x:c>
      <x:c r="L114" s="4" t="str">
        <x:v>未记录</x:v>
      </x:c>
      <x:c r="M114" s="4" t="n">
        <x:v>0</x:v>
      </x:c>
      <x:c r="N114" s="4"/>
      <x:c r="O114" s="4"/>
      <x:c r="P114" s="9"/>
      <x:c r="Q114" s="4"/>
      <x:c r="R114" s="4" t="str">
        <x:v>按项目名称与已获取定位识别为知识、数据或技能资源；非独立软件能力证据</x:v>
      </x:c>
      <x:c r="S114" s="4" t="str">
        <x:v>GitHub月榜24-26</x:v>
      </x:c>
      <x:c r="T114" s="4" t="n">
        <x:v>112</x:v>
      </x:c>
      <x:c r="U114" s="4" t="str">
        <x:v>https://github.com/addyosmani/agent-skills</x:v>
      </x:c>
      <x:c r="V114" s="4" t="str">
        <x:v>addyosmani/agent-skills</x:v>
      </x:c>
    </x:row>
    <x:row r="115" ht="44" customHeight="1">
      <x:c r="A115" s="4" t="n">
        <x:v>110</x:v>
      </x:c>
      <x:c r="B115" s="4" t="str">
        <x:v>agentsmd/agents.md</x:v>
      </x:c>
      <x:c r="C115" s="4"/>
      <x:c r="D115" s="4" t="str">
        <x:v>未归入15类</x:v>
      </x:c>
      <x:c r="E115" s="4" t="str">
        <x:v>范围排除</x:v>
      </x:c>
      <x:c r="F115" s="4" t="n">
        <x:v>0</x:v>
      </x:c>
      <x:c r="G115" s="4" t="str">
        <x:v>教程/资源/技能资产</x:v>
      </x:c>
      <x:c r="H115" s="4" t="str">
        <x:v>Agent资源（不等于运行时）</x:v>
      </x:c>
      <x:c r="I115" s="4" t="str">
        <x:v>Agent 与 AI 应用</x:v>
      </x:c>
      <x:c r="J115" s="4" t="str">
        <x:v>JavaScript/TypeScript</x:v>
      </x:c>
      <x:c r="K115" s="4" t="str">
        <x:v>未获取</x:v>
      </x:c>
      <x:c r="L115" s="4" t="str">
        <x:v>未记录</x:v>
      </x:c>
      <x:c r="M115" s="4" t="n">
        <x:v>4</x:v>
      </x:c>
      <x:c r="N115" s="4" t="n">
        <x:v>4</x:v>
      </x:c>
      <x:c r="O115" s="4" t="n">
        <x:v>3</x:v>
      </x:c>
      <x:c r="P115" s="9" t="n">
        <x:v>0.75</x:v>
      </x:c>
      <x:c r="Q115" s="4"/>
      <x:c r="R115" s="4" t="str">
        <x:v>按项目名称与已获取定位识别为知识、数据或技能资源；非独立软件能力证据</x:v>
      </x:c>
      <x:c r="S115" s="4" t="str">
        <x:v>GitHub月榜24-26</x:v>
      </x:c>
      <x:c r="T115" s="4" t="n">
        <x:v>113</x:v>
      </x:c>
      <x:c r="U115" s="4" t="str">
        <x:v>https://github.com/agentsmd/agents.md</x:v>
      </x:c>
      <x:c r="V115" s="4" t="str">
        <x:v>agentsmd/agents.md</x:v>
      </x:c>
    </x:row>
    <x:row r="116" ht="44" customHeight="1">
      <x:c r="A116" s="4" t="n">
        <x:v>111</x:v>
      </x:c>
      <x:c r="B116" s="4" t="str">
        <x:v>ajeetdsouza/zoxide</x:v>
      </x:c>
      <x:c r="C116" s="4" t="n">
        <x:v>2</x:v>
      </x:c>
      <x:c r="D116" s="4" t="str">
        <x:v>系统资源与原生互操作</x:v>
      </x:c>
      <x:c r="E116" s="4" t="str">
        <x:v>本地证据分类</x:v>
      </x:c>
      <x:c r="F116" s="4" t="n">
        <x:v>1</x:v>
      </x:c>
      <x:c r="G116" s="4" t="str">
        <x:v>软件项目</x:v>
      </x:c>
      <x:c r="H116" s="4" t="str">
        <x:v>原生/系统接口</x:v>
      </x:c>
      <x:c r="I116" s="4" t="str">
        <x:v>桌面、TUI 与跨端应用</x:v>
      </x:c>
      <x:c r="J116" s="4" t="str">
        <x:v>Rust</x:v>
      </x:c>
      <x:c r="K116" s="4" t="str">
        <x:v>未获取</x:v>
      </x:c>
      <x:c r="L116" s="4" t="str">
        <x:v>未记录</x:v>
      </x:c>
      <x:c r="M116" s="4" t="n">
        <x:v>19</x:v>
      </x:c>
      <x:c r="N116" s="4" t="n">
        <x:v>19</x:v>
      </x:c>
      <x:c r="O116" s="4" t="n">
        <x:v>1</x:v>
      </x:c>
      <x:c r="P116" s="9" t="n">
        <x:v>0.05263157894736842</x:v>
      </x:c>
      <x:c r="Q116" s="4"/>
      <x:c r="R116" s="4" t="str">
        <x:v>项目名称/框架的明确功能定位；未逐一在线核验README</x:v>
      </x:c>
      <x:c r="S116" s="4" t="str">
        <x:v>GitHub月榜24-26</x:v>
      </x:c>
      <x:c r="T116" s="4" t="n">
        <x:v>114</x:v>
      </x:c>
      <x:c r="U116" s="4" t="str">
        <x:v>https://github.com/ajeetdsouza/zoxide</x:v>
      </x:c>
      <x:c r="V116" s="4" t="str">
        <x:v>ajeetdsouza/zoxide</x:v>
      </x:c>
    </x:row>
    <x:row r="117" ht="44" customHeight="1">
      <x:c r="A117" s="4" t="n">
        <x:v>112</x:v>
      </x:c>
      <x:c r="B117" s="4" t="str">
        <x:v>alibaba/spring-ai-alibaba</x:v>
      </x:c>
      <x:c r="C117" s="4" t="n">
        <x:v>13</x:v>
      </x:c>
      <x:c r="D117" s="4" t="str">
        <x:v>Agent编排与工具执行</x:v>
      </x:c>
      <x:c r="E117" s="4" t="str">
        <x:v>本地证据分类</x:v>
      </x:c>
      <x:c r="F117" s="4" t="n">
        <x:v>1</x:v>
      </x:c>
      <x:c r="G117" s="4" t="str">
        <x:v>软件项目</x:v>
      </x:c>
      <x:c r="H117" s="4" t="str">
        <x:v>Agent编排/工具服务</x:v>
      </x:c>
      <x:c r="I117" s="4" t="str">
        <x:v>Agent 与 AI 应用</x:v>
      </x:c>
      <x:c r="J117" s="4" t="str">
        <x:v>Java</x:v>
      </x:c>
      <x:c r="K117" s="4" t="str">
        <x:v>未获取</x:v>
      </x:c>
      <x:c r="L117" s="4" t="str">
        <x:v>未记录</x:v>
      </x:c>
      <x:c r="M117" s="4" t="n">
        <x:v>33</x:v>
      </x:c>
      <x:c r="N117" s="4" t="n">
        <x:v>33</x:v>
      </x:c>
      <x:c r="O117" s="4" t="n">
        <x:v>0</x:v>
      </x:c>
      <x:c r="P117" s="9" t="n">
        <x:v>0</x:v>
      </x:c>
      <x:c r="Q117" s="4"/>
      <x:c r="R117" s="4" t="str">
        <x:v>项目名称/框架的明确功能定位；未逐一在线核验README</x:v>
      </x:c>
      <x:c r="S117" s="4" t="str">
        <x:v>GitHub月榜24-26</x:v>
      </x:c>
      <x:c r="T117" s="4" t="n">
        <x:v>115</x:v>
      </x:c>
      <x:c r="U117" s="4" t="str">
        <x:v>https://github.com/alibaba/spring-ai-alibaba</x:v>
      </x:c>
      <x:c r="V117" s="4" t="str">
        <x:v>alibaba/spring-ai-alibaba</x:v>
      </x:c>
    </x:row>
    <x:row r="118" ht="44" customHeight="1">
      <x:c r="A118" s="4" t="n">
        <x:v>113</x:v>
      </x:c>
      <x:c r="B118" s="4" t="str">
        <x:v>alibaba/zvec</x:v>
      </x:c>
      <x:c r="C118" s="4" t="n">
        <x:v>5</x:v>
      </x:c>
      <x:c r="D118" s="4" t="str">
        <x:v>数据库、存储与检索</x:v>
      </x:c>
      <x:c r="E118" s="4" t="str">
        <x:v>本地证据分类</x:v>
      </x:c>
      <x:c r="F118" s="4" t="n">
        <x:v>1</x:v>
      </x:c>
      <x:c r="G118" s="4" t="str">
        <x:v>软件项目</x:v>
      </x:c>
      <x:c r="H118" s="4" t="str">
        <x:v>数据服务</x:v>
      </x:c>
      <x:c r="I118" s="4" t="str">
        <x:v>数据分析与科学计算</x:v>
      </x:c>
      <x:c r="J118" s="4" t="str">
        <x:v>Python</x:v>
      </x:c>
      <x:c r="K118" s="4" t="str">
        <x:v>未获取</x:v>
      </x:c>
      <x:c r="L118" s="4" t="str">
        <x:v>未记录</x:v>
      </x:c>
      <x:c r="M118" s="4" t="n">
        <x:v>1</x:v>
      </x:c>
      <x:c r="N118" s="4" t="n">
        <x:v>1</x:v>
      </x:c>
      <x:c r="O118" s="4" t="n">
        <x:v>1</x:v>
      </x:c>
      <x:c r="P118" s="9" t="n">
        <x:v>1</x:v>
      </x:c>
      <x:c r="Q118" s="4"/>
      <x:c r="R118" s="4" t="str">
        <x:v>项目名称/框架的明确功能定位；未逐一在线核验README</x:v>
      </x:c>
      <x:c r="S118" s="4" t="str">
        <x:v>GitHub月榜24-26</x:v>
      </x:c>
      <x:c r="T118" s="4" t="n">
        <x:v>116</x:v>
      </x:c>
      <x:c r="U118" s="4" t="str">
        <x:v>https://github.com/alibaba/zvec</x:v>
      </x:c>
      <x:c r="V118" s="4" t="str">
        <x:v>alibaba/zvec</x:v>
      </x:c>
    </x:row>
    <x:row r="119" ht="44" customHeight="1">
      <x:c r="A119" s="4" t="n">
        <x:v>114</x:v>
      </x:c>
      <x:c r="B119" s="4" t="str">
        <x:v>anthropics/anthropic-quickstarts</x:v>
      </x:c>
      <x:c r="C119" s="4"/>
      <x:c r="D119" s="4" t="str">
        <x:v>未归入15类</x:v>
      </x:c>
      <x:c r="E119" s="4" t="str">
        <x:v>范围排除</x:v>
      </x:c>
      <x:c r="F119" s="4" t="n">
        <x:v>0</x:v>
      </x:c>
      <x:c r="G119" s="4" t="str">
        <x:v>教程/资源/技能资产</x:v>
      </x:c>
      <x:c r="H119" s="4" t="str">
        <x:v>知识/数据资产</x:v>
      </x:c>
      <x:c r="I119" s="4" t="str">
        <x:v>当前页面未列入</x:v>
      </x:c>
      <x:c r="J119" s="4" t="str">
        <x:v>未记录</x:v>
      </x:c>
      <x:c r="K119" s="4" t="str">
        <x:v>未获取</x:v>
      </x:c>
      <x:c r="L119" s="4" t="str">
        <x:v>未记录</x:v>
      </x:c>
      <x:c r="M119" s="4" t="n">
        <x:v>0</x:v>
      </x:c>
      <x:c r="N119" s="4"/>
      <x:c r="O119" s="4"/>
      <x:c r="P119" s="9"/>
      <x:c r="Q119" s="4"/>
      <x:c r="R119" s="4" t="str">
        <x:v>按项目名称与已获取定位识别为知识、数据或技能资源；非独立软件能力证据</x:v>
      </x:c>
      <x:c r="S119" s="4" t="str">
        <x:v>GitHub月榜24-26</x:v>
      </x:c>
      <x:c r="T119" s="4" t="n">
        <x:v>117</x:v>
      </x:c>
      <x:c r="U119" s="4" t="str">
        <x:v>https://github.com/anthropics/anthropic-quickstarts</x:v>
      </x:c>
      <x:c r="V119" s="4" t="str">
        <x:v>anthropics/anthropic-quickstarts</x:v>
      </x:c>
    </x:row>
    <x:row r="120" ht="44" customHeight="1">
      <x:c r="A120" s="4" t="n">
        <x:v>115</x:v>
      </x:c>
      <x:c r="B120" s="4" t="str">
        <x:v>anthropics/claude-code</x:v>
      </x:c>
      <x:c r="C120" s="4" t="n">
        <x:v>14</x:v>
      </x:c>
      <x:c r="D120" s="4" t="str">
        <x:v>软件构建、开发与测试</x:v>
      </x:c>
      <x:c r="E120" s="4" t="str">
        <x:v>元数据已核验</x:v>
      </x:c>
      <x:c r="F120" s="4" t="n">
        <x:v>1</x:v>
      </x:c>
      <x:c r="G120" s="4" t="str">
        <x:v>软件项目</x:v>
      </x:c>
      <x:c r="H120" s="4" t="str">
        <x:v>软件工程；编程Agent需额外挂13标签</x:v>
      </x:c>
      <x:c r="I120" s="4" t="str">
        <x:v>当前页面未列入</x:v>
      </x:c>
      <x:c r="J120" s="4" t="str">
        <x:v>未记录</x:v>
      </x:c>
      <x:c r="K120" s="4" t="str">
        <x:v>Python</x:v>
      </x:c>
      <x:c r="L120" s="4" t="str">
        <x:v>未记录</x:v>
      </x:c>
      <x:c r="M120" s="4" t="n">
        <x:v>0</x:v>
      </x:c>
      <x:c r="N120" s="4"/>
      <x:c r="O120" s="4"/>
      <x:c r="P120" s="9"/>
      <x:c r="Q120" s="4"/>
      <x:c r="R120" s="4" t="str">
        <x:v>项目定位与GitHub描述人工对照</x:v>
      </x:c>
      <x:c r="S120" s="4" t="str">
        <x:v>GitHub月榜24-26</x:v>
      </x:c>
      <x:c r="T120" s="4" t="n">
        <x:v>118</x:v>
      </x:c>
      <x:c r="U120" s="4" t="str">
        <x:v>https://github.com/anthropics/claude-code</x:v>
      </x:c>
      <x:c r="V120" s="4" t="str">
        <x:v>anthropics/claude-code</x:v>
      </x:c>
    </x:row>
    <x:row r="121" ht="44" customHeight="1">
      <x:c r="A121" s="4" t="n">
        <x:v>116</x:v>
      </x:c>
      <x:c r="B121" s="4" t="str">
        <x:v>anthropics/courses</x:v>
      </x:c>
      <x:c r="C121" s="4"/>
      <x:c r="D121" s="4" t="str">
        <x:v>未归入15类</x:v>
      </x:c>
      <x:c r="E121" s="4" t="str">
        <x:v>范围排除</x:v>
      </x:c>
      <x:c r="F121" s="4" t="n">
        <x:v>0</x:v>
      </x:c>
      <x:c r="G121" s="4" t="str">
        <x:v>教程/资源/技能资产</x:v>
      </x:c>
      <x:c r="H121" s="4" t="str">
        <x:v>知识/数据资产</x:v>
      </x:c>
      <x:c r="I121" s="4" t="str">
        <x:v>当前页面未列入</x:v>
      </x:c>
      <x:c r="J121" s="4" t="str">
        <x:v>未记录</x:v>
      </x:c>
      <x:c r="K121" s="4" t="str">
        <x:v>未获取</x:v>
      </x:c>
      <x:c r="L121" s="4" t="str">
        <x:v>未记录</x:v>
      </x:c>
      <x:c r="M121" s="4" t="n">
        <x:v>0</x:v>
      </x:c>
      <x:c r="N121" s="4"/>
      <x:c r="O121" s="4"/>
      <x:c r="P121" s="9"/>
      <x:c r="Q121" s="4"/>
      <x:c r="R121" s="4" t="str">
        <x:v>按项目名称与已获取定位识别为知识、数据或技能资源；非独立软件能力证据</x:v>
      </x:c>
      <x:c r="S121" s="4" t="str">
        <x:v>GitHub月榜24-26</x:v>
      </x:c>
      <x:c r="T121" s="4" t="n">
        <x:v>119</x:v>
      </x:c>
      <x:c r="U121" s="4" t="str">
        <x:v>https://github.com/anthropics/courses</x:v>
      </x:c>
      <x:c r="V121" s="4" t="str">
        <x:v>anthropics/courses</x:v>
      </x:c>
    </x:row>
    <x:row r="122" ht="44" customHeight="1">
      <x:c r="A122" s="4" t="n">
        <x:v>117</x:v>
      </x:c>
      <x:c r="B122" s="4" t="str">
        <x:v>anthropics/financial-services</x:v>
      </x:c>
      <x:c r="C122" s="4"/>
      <x:c r="D122" s="4" t="str">
        <x:v>未归入15类</x:v>
      </x:c>
      <x:c r="E122" s="4" t="str">
        <x:v>范围排除</x:v>
      </x:c>
      <x:c r="F122" s="4" t="n">
        <x:v>0</x:v>
      </x:c>
      <x:c r="G122" s="4" t="str">
        <x:v>教程/资源/技能资产</x:v>
      </x:c>
      <x:c r="H122" s="4" t="str">
        <x:v>知识/数据资产</x:v>
      </x:c>
      <x:c r="I122" s="4" t="str">
        <x:v>当前页面未列入</x:v>
      </x:c>
      <x:c r="J122" s="4" t="str">
        <x:v>未记录</x:v>
      </x:c>
      <x:c r="K122" s="4" t="str">
        <x:v>未获取</x:v>
      </x:c>
      <x:c r="L122" s="4" t="str">
        <x:v>未记录</x:v>
      </x:c>
      <x:c r="M122" s="4" t="n">
        <x:v>0</x:v>
      </x:c>
      <x:c r="N122" s="4"/>
      <x:c r="O122" s="4"/>
      <x:c r="P122" s="9"/>
      <x:c r="Q122" s="4"/>
      <x:c r="R122" s="4" t="str">
        <x:v>按项目名称与已获取定位识别为知识、数据或技能资源；非独立软件能力证据</x:v>
      </x:c>
      <x:c r="S122" s="4" t="str">
        <x:v>GitHub月榜24-26</x:v>
      </x:c>
      <x:c r="T122" s="4" t="n">
        <x:v>120</x:v>
      </x:c>
      <x:c r="U122" s="4" t="str">
        <x:v>https://github.com/anthropics/financial-services</x:v>
      </x:c>
      <x:c r="V122" s="4" t="str">
        <x:v>anthropics/financial-services</x:v>
      </x:c>
    </x:row>
    <x:row r="123" ht="44" customHeight="1">
      <x:c r="A123" s="4" t="n">
        <x:v>118</x:v>
      </x:c>
      <x:c r="B123" s="4" t="str">
        <x:v>anthropics/prompt-eng-interactive-tutorial</x:v>
      </x:c>
      <x:c r="C123" s="4"/>
      <x:c r="D123" s="4" t="str">
        <x:v>未归入15类</x:v>
      </x:c>
      <x:c r="E123" s="4" t="str">
        <x:v>范围排除</x:v>
      </x:c>
      <x:c r="F123" s="4" t="n">
        <x:v>0</x:v>
      </x:c>
      <x:c r="G123" s="4" t="str">
        <x:v>教程/资源/技能资产</x:v>
      </x:c>
      <x:c r="H123" s="4" t="str">
        <x:v>知识/数据资产</x:v>
      </x:c>
      <x:c r="I123" s="4" t="str">
        <x:v>当前页面未列入</x:v>
      </x:c>
      <x:c r="J123" s="4" t="str">
        <x:v>未记录</x:v>
      </x:c>
      <x:c r="K123" s="4" t="str">
        <x:v>未获取</x:v>
      </x:c>
      <x:c r="L123" s="4" t="str">
        <x:v>未记录</x:v>
      </x:c>
      <x:c r="M123" s="4" t="n">
        <x:v>0</x:v>
      </x:c>
      <x:c r="N123" s="4"/>
      <x:c r="O123" s="4"/>
      <x:c r="P123" s="9"/>
      <x:c r="Q123" s="4"/>
      <x:c r="R123" s="4" t="str">
        <x:v>按项目名称与已获取定位识别为知识、数据或技能资源；非独立软件能力证据</x:v>
      </x:c>
      <x:c r="S123" s="4" t="str">
        <x:v>GitHub月榜24-26</x:v>
      </x:c>
      <x:c r="T123" s="4" t="n">
        <x:v>121</x:v>
      </x:c>
      <x:c r="U123" s="4" t="str">
        <x:v>https://github.com/anthropics/prompt-eng-interactive-tutorial</x:v>
      </x:c>
      <x:c r="V123" s="4" t="str">
        <x:v>anthropics/prompt-eng-interactive-tutorial</x:v>
      </x:c>
    </x:row>
    <x:row r="124" ht="44" customHeight="1">
      <x:c r="A124" s="4" t="n">
        <x:v>119</x:v>
      </x:c>
      <x:c r="B124" s="4" t="str">
        <x:v>anthropics/skills</x:v>
      </x:c>
      <x:c r="C124" s="4"/>
      <x:c r="D124" s="4" t="str">
        <x:v>未归入15类</x:v>
      </x:c>
      <x:c r="E124" s="4" t="str">
        <x:v>范围排除</x:v>
      </x:c>
      <x:c r="F124" s="4" t="n">
        <x:v>0</x:v>
      </x:c>
      <x:c r="G124" s="4" t="str">
        <x:v>教程/资源/技能资产</x:v>
      </x:c>
      <x:c r="H124" s="4" t="str">
        <x:v>Agent资源（不等于运行时）</x:v>
      </x:c>
      <x:c r="I124" s="4" t="str">
        <x:v>当前页面未列入</x:v>
      </x:c>
      <x:c r="J124" s="4" t="str">
        <x:v>未记录</x:v>
      </x:c>
      <x:c r="K124" s="4" t="str">
        <x:v>Python</x:v>
      </x:c>
      <x:c r="L124" s="4" t="str">
        <x:v>未记录</x:v>
      </x:c>
      <x:c r="M124" s="4" t="n">
        <x:v>0</x:v>
      </x:c>
      <x:c r="N124" s="4"/>
      <x:c r="O124" s="4"/>
      <x:c r="P124" s="9"/>
      <x:c r="Q124" s="4"/>
      <x:c r="R124" s="4" t="str">
        <x:v>按项目名称与已获取定位识别为知识、数据或技能资源；非独立软件能力证据</x:v>
      </x:c>
      <x:c r="S124" s="4" t="str">
        <x:v>GitHub月榜24-26</x:v>
      </x:c>
      <x:c r="T124" s="4" t="n">
        <x:v>122</x:v>
      </x:c>
      <x:c r="U124" s="4" t="str">
        <x:v>https://github.com/anthropics/skills</x:v>
      </x:c>
      <x:c r="V124" s="4" t="str">
        <x:v>anthropics/skills</x:v>
      </x:c>
    </x:row>
    <x:row r="125" ht="44" customHeight="1">
      <x:c r="A125" s="4" t="n">
        <x:v>120</x:v>
      </x:c>
      <x:c r="B125" s="4" t="str">
        <x:v>anvaka/city-roads</x:v>
      </x:c>
      <x:c r="C125" s="4" t="n">
        <x:v>8</x:v>
      </x:c>
      <x:c r="D125" s="4" t="str">
        <x:v>数据处理与科学计算</x:v>
      </x:c>
      <x:c r="E125" s="4" t="str">
        <x:v>本地证据分类</x:v>
      </x:c>
      <x:c r="F125" s="4" t="n">
        <x:v>1</x:v>
      </x:c>
      <x:c r="G125" s="4" t="str">
        <x:v>软件项目</x:v>
      </x:c>
      <x:c r="H125" s="4" t="str">
        <x:v>数据/行业分析</x:v>
      </x:c>
      <x:c r="I125" s="4" t="str">
        <x:v>Web 与业务服务</x:v>
      </x:c>
      <x:c r="J125" s="4" t="str">
        <x:v>JavaScript/TypeScript</x:v>
      </x:c>
      <x:c r="K125" s="4" t="str">
        <x:v>未获取</x:v>
      </x:c>
      <x:c r="L125" s="4" t="str">
        <x:v>未记录</x:v>
      </x:c>
      <x:c r="M125" s="4" t="n">
        <x:v>11</x:v>
      </x:c>
      <x:c r="N125" s="4" t="n">
        <x:v>11</x:v>
      </x:c>
      <x:c r="O125" s="4" t="n">
        <x:v>8</x:v>
      </x:c>
      <x:c r="P125" s="9" t="n">
        <x:v>0.7272727272727273</x:v>
      </x:c>
      <x:c r="Q125" s="4"/>
      <x:c r="R125" s="4" t="str">
        <x:v>项目名称/框架的明确功能定位；未逐一在线核验README</x:v>
      </x:c>
      <x:c r="S125" s="4" t="str">
        <x:v>GitHub月榜24-26</x:v>
      </x:c>
      <x:c r="T125" s="4" t="n">
        <x:v>123</x:v>
      </x:c>
      <x:c r="U125" s="4" t="str">
        <x:v>https://github.com/anvaka/city-roads</x:v>
      </x:c>
      <x:c r="V125" s="4" t="str">
        <x:v>anvaka/city-roads</x:v>
      </x:c>
    </x:row>
    <x:row r="126" ht="44" customHeight="1">
      <x:c r="A126" s="4" t="n">
        <x:v>121</x:v>
      </x:c>
      <x:c r="B126" s="4" t="str">
        <x:v>anywhere-labs/deepseek-harness-desktop</x:v>
      </x:c>
      <x:c r="C126" s="4"/>
      <x:c r="D126" s="4" t="str">
        <x:v>未归入15类</x:v>
      </x:c>
      <x:c r="E126" s="4" t="str">
        <x:v>信息不足</x:v>
      </x:c>
      <x:c r="F126" s="4" t="n">
        <x:v>1</x:v>
      </x:c>
      <x:c r="G126" s="4" t="str">
        <x:v>待确认项目</x:v>
      </x:c>
      <x:c r="H126" s="4" t="str"/>
      <x:c r="I126" s="4" t="str">
        <x:v>当前页面未列入</x:v>
      </x:c>
      <x:c r="J126" s="4" t="str">
        <x:v>未记录</x:v>
      </x:c>
      <x:c r="K126" s="4" t="str">
        <x:v>未获取</x:v>
      </x:c>
      <x:c r="L126" s="4" t="str">
        <x:v>未记录</x:v>
      </x:c>
      <x:c r="M126" s="4" t="n">
        <x:v>0</x:v>
      </x:c>
      <x:c r="N126" s="4"/>
      <x:c r="O126" s="4"/>
      <x:c r="P126" s="9"/>
      <x:c r="Q126" s="4"/>
      <x:c r="R126" s="4" t="str">
        <x:v>缺少明确功能描述，不按依赖或语言强行归类</x:v>
      </x:c>
      <x:c r="S126" s="4" t="str">
        <x:v>GitHub月榜24-26</x:v>
      </x:c>
      <x:c r="T126" s="4" t="n">
        <x:v>124</x:v>
      </x:c>
      <x:c r="U126" s="4" t="str">
        <x:v>https://github.com/anywhere-labs/deepseek-harness-desktop</x:v>
      </x:c>
      <x:c r="V126" s="4" t="str">
        <x:v>anywhere-labs/deepseek-harness-desktop</x:v>
      </x:c>
    </x:row>
    <x:row r="127" ht="44" customHeight="1">
      <x:c r="A127" s="4" t="n">
        <x:v>122</x:v>
      </x:c>
      <x:c r="B127" s="4" t="str">
        <x:v>apple/container</x:v>
      </x:c>
      <x:c r="C127" s="4" t="n">
        <x:v>2</x:v>
      </x:c>
      <x:c r="D127" s="4" t="str">
        <x:v>系统资源与原生互操作</x:v>
      </x:c>
      <x:c r="E127" s="4" t="str">
        <x:v>本地证据分类</x:v>
      </x:c>
      <x:c r="F127" s="4" t="n">
        <x:v>1</x:v>
      </x:c>
      <x:c r="G127" s="4" t="str">
        <x:v>软件项目</x:v>
      </x:c>
      <x:c r="H127" s="4" t="str">
        <x:v>原生/系统接口</x:v>
      </x:c>
      <x:c r="I127" s="4" t="str">
        <x:v>当前页面未列入</x:v>
      </x:c>
      <x:c r="J127" s="4" t="str">
        <x:v>未记录</x:v>
      </x:c>
      <x:c r="K127" s="4" t="str">
        <x:v>未获取</x:v>
      </x:c>
      <x:c r="L127" s="4" t="str">
        <x:v>未记录</x:v>
      </x:c>
      <x:c r="M127" s="4" t="n">
        <x:v>0</x:v>
      </x:c>
      <x:c r="N127" s="4"/>
      <x:c r="O127" s="4"/>
      <x:c r="P127" s="9"/>
      <x:c r="Q127" s="4"/>
      <x:c r="R127" s="4" t="str">
        <x:v>项目名称/框架的明确功能定位；未逐一在线核验README</x:v>
      </x:c>
      <x:c r="S127" s="4" t="str">
        <x:v>GitHub月榜24-26</x:v>
      </x:c>
      <x:c r="T127" s="4" t="n">
        <x:v>125</x:v>
      </x:c>
      <x:c r="U127" s="4" t="str">
        <x:v>https://github.com/apple/container</x:v>
      </x:c>
      <x:c r="V127" s="4" t="str">
        <x:v>apple/container</x:v>
      </x:c>
    </x:row>
    <x:row r="128" ht="44" customHeight="1">
      <x:c r="A128" s="4" t="n">
        <x:v>123</x:v>
      </x:c>
      <x:c r="B128" s="4" t="str">
        <x:v>appwrite/appwrite</x:v>
      </x:c>
      <x:c r="C128" s="4" t="n">
        <x:v>6</x:v>
      </x:c>
      <x:c r="D128" s="4" t="str">
        <x:v>后端服务与业务流程</x:v>
      </x:c>
      <x:c r="E128" s="4" t="str">
        <x:v>元数据已核验</x:v>
      </x:c>
      <x:c r="F128" s="4" t="n">
        <x:v>1</x:v>
      </x:c>
      <x:c r="G128" s="4" t="str">
        <x:v>软件项目</x:v>
      </x:c>
      <x:c r="H128" s="4" t="str">
        <x:v>业务应用/确定性工作流</x:v>
      </x:c>
      <x:c r="I128" s="4" t="str">
        <x:v>当前页面未列入</x:v>
      </x:c>
      <x:c r="J128" s="4" t="str">
        <x:v>未记录</x:v>
      </x:c>
      <x:c r="K128" s="4" t="str">
        <x:v>TypeScript</x:v>
      </x:c>
      <x:c r="L128" s="4" t="str">
        <x:v>未记录</x:v>
      </x:c>
      <x:c r="M128" s="4" t="n">
        <x:v>0</x:v>
      </x:c>
      <x:c r="N128" s="4"/>
      <x:c r="O128" s="4"/>
      <x:c r="P128" s="9"/>
      <x:c r="Q128" s="4"/>
      <x:c r="R128" s="4" t="str">
        <x:v>项目定位与GitHub描述人工对照</x:v>
      </x:c>
      <x:c r="S128" s="4" t="str">
        <x:v>GitHub月榜24-26</x:v>
      </x:c>
      <x:c r="T128" s="4" t="n">
        <x:v>126</x:v>
      </x:c>
      <x:c r="U128" s="4" t="str">
        <x:v>https://github.com/appwrite/appwrite</x:v>
      </x:c>
      <x:c r="V128" s="4" t="str">
        <x:v>appwrite/appwrite</x:v>
      </x:c>
    </x:row>
    <x:row r="129" ht="44" customHeight="1">
      <x:c r="A129" s="4" t="n">
        <x:v>124</x:v>
      </x:c>
      <x:c r="B129" s="4" t="str">
        <x:v>aquasecurity/trivy</x:v>
      </x:c>
      <x:c r="C129" s="4" t="n">
        <x:v>4</x:v>
      </x:c>
      <x:c r="D129" s="4" t="str">
        <x:v>安全与身份认证</x:v>
      </x:c>
      <x:c r="E129" s="4" t="str">
        <x:v>本地证据分类</x:v>
      </x:c>
      <x:c r="F129" s="4" t="n">
        <x:v>1</x:v>
      </x:c>
      <x:c r="G129" s="4" t="str">
        <x:v>软件项目</x:v>
      </x:c>
      <x:c r="H129" s="4" t="str">
        <x:v>安全审计</x:v>
      </x:c>
      <x:c r="I129" s="4" t="str">
        <x:v>云原生、运维与安全</x:v>
      </x:c>
      <x:c r="J129" s="4" t="str">
        <x:v>Go</x:v>
      </x:c>
      <x:c r="K129" s="4" t="str">
        <x:v>未获取</x:v>
      </x:c>
      <x:c r="L129" s="4" t="str">
        <x:v>未记录</x:v>
      </x:c>
      <x:c r="M129" s="4" t="n">
        <x:v>465</x:v>
      </x:c>
      <x:c r="N129" s="4" t="n">
        <x:v>465</x:v>
      </x:c>
      <x:c r="O129" s="4" t="n">
        <x:v>0</x:v>
      </x:c>
      <x:c r="P129" s="9" t="n">
        <x:v>0</x:v>
      </x:c>
      <x:c r="Q129" s="4"/>
      <x:c r="R129" s="4" t="str">
        <x:v>项目名称/框架的明确功能定位；未逐一在线核验README</x:v>
      </x:c>
      <x:c r="S129" s="4" t="str">
        <x:v>GitHub月榜24-26</x:v>
      </x:c>
      <x:c r="T129" s="4" t="n">
        <x:v>127</x:v>
      </x:c>
      <x:c r="U129" s="4" t="str">
        <x:v>https://github.com/aquasecurity/trivy</x:v>
      </x:c>
      <x:c r="V129" s="4" t="str">
        <x:v>aquasecurity/trivy</x:v>
      </x:c>
    </x:row>
    <x:row r="130" ht="44" customHeight="1">
      <x:c r="A130" s="4" t="n">
        <x:v>125</x:v>
      </x:c>
      <x:c r="B130" s="4" t="str">
        <x:v>ashishpatel26/500-AI-Agents-Projects</x:v>
      </x:c>
      <x:c r="C130" s="4"/>
      <x:c r="D130" s="4" t="str">
        <x:v>未归入15类</x:v>
      </x:c>
      <x:c r="E130" s="4" t="str">
        <x:v>范围排除</x:v>
      </x:c>
      <x:c r="F130" s="4" t="n">
        <x:v>0</x:v>
      </x:c>
      <x:c r="G130" s="4" t="str">
        <x:v>教程/资源/技能资产</x:v>
      </x:c>
      <x:c r="H130" s="4" t="str">
        <x:v>Agent资源（不等于运行时）</x:v>
      </x:c>
      <x:c r="I130" s="4" t="str">
        <x:v>当前页面未列入</x:v>
      </x:c>
      <x:c r="J130" s="4" t="str">
        <x:v>未记录</x:v>
      </x:c>
      <x:c r="K130" s="4" t="str">
        <x:v>未获取</x:v>
      </x:c>
      <x:c r="L130" s="4" t="str">
        <x:v>未记录</x:v>
      </x:c>
      <x:c r="M130" s="4" t="n">
        <x:v>0</x:v>
      </x:c>
      <x:c r="N130" s="4"/>
      <x:c r="O130" s="4"/>
      <x:c r="P130" s="9"/>
      <x:c r="Q130" s="4"/>
      <x:c r="R130" s="4" t="str">
        <x:v>按项目名称与已获取定位识别为知识、数据或技能资源；非独立软件能力证据</x:v>
      </x:c>
      <x:c r="S130" s="4" t="str">
        <x:v>GitHub月榜24-26</x:v>
      </x:c>
      <x:c r="T130" s="4" t="n">
        <x:v>128</x:v>
      </x:c>
      <x:c r="U130" s="4" t="str">
        <x:v>https://github.com/ashishpatel26/500-AI-Agents-Projects</x:v>
      </x:c>
      <x:c r="V130" s="4" t="str">
        <x:v>ashishpatel26/500-ai-agents-projects</x:v>
      </x:c>
    </x:row>
    <x:row r="131" ht="44" customHeight="1">
      <x:c r="A131" s="4" t="n">
        <x:v>126</x:v>
      </x:c>
      <x:c r="B131" s="4" t="str">
        <x:v>ashishps1/awesome-system-design-resources</x:v>
      </x:c>
      <x:c r="C131" s="4"/>
      <x:c r="D131" s="4" t="str">
        <x:v>未归入15类</x:v>
      </x:c>
      <x:c r="E131" s="4" t="str">
        <x:v>范围排除</x:v>
      </x:c>
      <x:c r="F131" s="4" t="n">
        <x:v>0</x:v>
      </x:c>
      <x:c r="G131" s="4" t="str">
        <x:v>教程/资源/技能资产</x:v>
      </x:c>
      <x:c r="H131" s="4" t="str">
        <x:v>知识/数据资产</x:v>
      </x:c>
      <x:c r="I131" s="4" t="str">
        <x:v>当前页面未列入</x:v>
      </x:c>
      <x:c r="J131" s="4" t="str">
        <x:v>未记录</x:v>
      </x:c>
      <x:c r="K131" s="4" t="str">
        <x:v>未获取</x:v>
      </x:c>
      <x:c r="L131" s="4" t="str">
        <x:v>未记录</x:v>
      </x:c>
      <x:c r="M131" s="4" t="n">
        <x:v>0</x:v>
      </x:c>
      <x:c r="N131" s="4"/>
      <x:c r="O131" s="4"/>
      <x:c r="P131" s="9"/>
      <x:c r="Q131" s="4"/>
      <x:c r="R131" s="4" t="str">
        <x:v>按项目名称与已获取定位识别为知识、数据或技能资源；非独立软件能力证据</x:v>
      </x:c>
      <x:c r="S131" s="4" t="str">
        <x:v>GitHub月榜24-26</x:v>
      </x:c>
      <x:c r="T131" s="4" t="n">
        <x:v>129</x:v>
      </x:c>
      <x:c r="U131" s="4" t="str">
        <x:v>https://github.com/ashishps1/awesome-system-design-resources</x:v>
      </x:c>
      <x:c r="V131" s="4" t="str">
        <x:v>ashishps1/awesome-system-design-resources</x:v>
      </x:c>
    </x:row>
    <x:row r="132" ht="44" customHeight="1">
      <x:c r="A132" s="4" t="n">
        <x:v>127</x:v>
      </x:c>
      <x:c r="B132" s="4" t="str">
        <x:v>astral-sh/ruff</x:v>
      </x:c>
      <x:c r="C132" s="4" t="n">
        <x:v>14</x:v>
      </x:c>
      <x:c r="D132" s="4" t="str">
        <x:v>软件构建、开发与测试</x:v>
      </x:c>
      <x:c r="E132" s="4" t="str">
        <x:v>本地证据分类</x:v>
      </x:c>
      <x:c r="F132" s="4" t="n">
        <x:v>1</x:v>
      </x:c>
      <x:c r="G132" s="4" t="str">
        <x:v>软件项目</x:v>
      </x:c>
      <x:c r="H132" s="4" t="str">
        <x:v>软件工程；编程Agent需额外挂13标签</x:v>
      </x:c>
      <x:c r="I132" s="4" t="str">
        <x:v>行业与其他应用</x:v>
      </x:c>
      <x:c r="J132" s="4" t="str">
        <x:v>Python</x:v>
      </x:c>
      <x:c r="K132" s="4" t="str">
        <x:v>未获取</x:v>
      </x:c>
      <x:c r="L132" s="4" t="str">
        <x:v>未记录</x:v>
      </x:c>
      <x:c r="M132" s="4" t="n">
        <x:v>9</x:v>
      </x:c>
      <x:c r="N132" s="4" t="n">
        <x:v>9</x:v>
      </x:c>
      <x:c r="O132" s="4" t="n">
        <x:v>7</x:v>
      </x:c>
      <x:c r="P132" s="9" t="n">
        <x:v>0.7777777777777778</x:v>
      </x:c>
      <x:c r="Q132" s="4"/>
      <x:c r="R132" s="4" t="str">
        <x:v>项目名称/框架的明确功能定位；未逐一在线核验README</x:v>
      </x:c>
      <x:c r="S132" s="4" t="str">
        <x:v>GitHub月榜24-26</x:v>
      </x:c>
      <x:c r="T132" s="4" t="n">
        <x:v>130</x:v>
      </x:c>
      <x:c r="U132" s="4" t="str">
        <x:v>https://github.com/astral-sh/ruff</x:v>
      </x:c>
      <x:c r="V132" s="4" t="str">
        <x:v>astral-sh/ruff</x:v>
      </x:c>
    </x:row>
    <x:row r="133" ht="44" customHeight="1">
      <x:c r="A133" s="4" t="n">
        <x:v>128</x:v>
      </x:c>
      <x:c r="B133" s="4" t="str">
        <x:v>awesome-dsh-plugin/awesome-dsh-plugin</x:v>
      </x:c>
      <x:c r="C133" s="4"/>
      <x:c r="D133" s="4" t="str">
        <x:v>未归入15类</x:v>
      </x:c>
      <x:c r="E133" s="4" t="str">
        <x:v>范围排除</x:v>
      </x:c>
      <x:c r="F133" s="4" t="n">
        <x:v>0</x:v>
      </x:c>
      <x:c r="G133" s="4" t="str">
        <x:v>教程/资源/技能资产</x:v>
      </x:c>
      <x:c r="H133" s="4" t="str">
        <x:v>知识/数据资产</x:v>
      </x:c>
      <x:c r="I133" s="4" t="str">
        <x:v>当前页面未列入</x:v>
      </x:c>
      <x:c r="J133" s="4" t="str">
        <x:v>未记录</x:v>
      </x:c>
      <x:c r="K133" s="4" t="str">
        <x:v>未获取</x:v>
      </x:c>
      <x:c r="L133" s="4" t="str">
        <x:v>未记录</x:v>
      </x:c>
      <x:c r="M133" s="4" t="n">
        <x:v>0</x:v>
      </x:c>
      <x:c r="N133" s="4"/>
      <x:c r="O133" s="4"/>
      <x:c r="P133" s="9"/>
      <x:c r="Q133" s="4"/>
      <x:c r="R133" s="4" t="str">
        <x:v>按项目名称与已获取定位识别为知识、数据或技能资源；非独立软件能力证据</x:v>
      </x:c>
      <x:c r="S133" s="4" t="str">
        <x:v>GitHub月榜24-26</x:v>
      </x:c>
      <x:c r="T133" s="4" t="n">
        <x:v>131</x:v>
      </x:c>
      <x:c r="U133" s="4" t="str">
        <x:v>https://github.com/awesome-dsh-plugin/awesome-dsh-plugin</x:v>
      </x:c>
      <x:c r="V133" s="4" t="str">
        <x:v>awesome-dsh-plugin/awesome-dsh-plugin</x:v>
      </x:c>
    </x:row>
    <x:row r="134" ht="44" customHeight="1">
      <x:c r="A134" s="4" t="n">
        <x:v>129</x:v>
      </x:c>
      <x:c r="B134" s="4" t="str">
        <x:v>ayangweb/EcoPaste</x:v>
      </x:c>
      <x:c r="C134" s="4" t="n">
        <x:v>12</x:v>
      </x:c>
      <x:c r="D134" s="4" t="str">
        <x:v>办公软件与桌面操作自动化</x:v>
      </x:c>
      <x:c r="E134" s="4" t="str">
        <x:v>本地证据分类</x:v>
      </x:c>
      <x:c r="F134" s="4" t="n">
        <x:v>1</x:v>
      </x:c>
      <x:c r="G134" s="4" t="str">
        <x:v>软件项目</x:v>
      </x:c>
      <x:c r="H134" s="4" t="str">
        <x:v>办公/浏览器执行</x:v>
      </x:c>
      <x:c r="I134" s="4" t="str">
        <x:v>Web 与业务服务</x:v>
      </x:c>
      <x:c r="J134" s="4" t="str">
        <x:v>JavaScript/TypeScript</x:v>
      </x:c>
      <x:c r="K134" s="4" t="str">
        <x:v>未获取</x:v>
      </x:c>
      <x:c r="L134" s="4" t="str">
        <x:v>未记录</x:v>
      </x:c>
      <x:c r="M134" s="4" t="n">
        <x:v>28</x:v>
      </x:c>
      <x:c r="N134" s="4" t="n">
        <x:v>28</x:v>
      </x:c>
      <x:c r="O134" s="4" t="n">
        <x:v>24</x:v>
      </x:c>
      <x:c r="P134" s="9" t="n">
        <x:v>0.8571428571428571</x:v>
      </x:c>
      <x:c r="Q134" s="4"/>
      <x:c r="R134" s="4" t="str">
        <x:v>项目名称/框架的明确功能定位；未逐一在线核验README</x:v>
      </x:c>
      <x:c r="S134" s="4" t="str">
        <x:v>GitHub月榜24-26</x:v>
      </x:c>
      <x:c r="T134" s="4" t="n">
        <x:v>132</x:v>
      </x:c>
      <x:c r="U134" s="4" t="str">
        <x:v>https://github.com/ayangweb/EcoPaste</x:v>
      </x:c>
      <x:c r="V134" s="4" t="str">
        <x:v>ayangweb/ecopaste</x:v>
      </x:c>
    </x:row>
    <x:row r="135" ht="44" customHeight="1">
      <x:c r="A135" s="4" t="n">
        <x:v>130</x:v>
      </x:c>
      <x:c r="B135" s="4" t="str">
        <x:v>ayghri/i-have-adhd</x:v>
      </x:c>
      <x:c r="C135" s="4"/>
      <x:c r="D135" s="4" t="str">
        <x:v>未归入15类</x:v>
      </x:c>
      <x:c r="E135" s="4" t="str">
        <x:v>信息不足</x:v>
      </x:c>
      <x:c r="F135" s="4" t="n">
        <x:v>1</x:v>
      </x:c>
      <x:c r="G135" s="4" t="str">
        <x:v>待确认项目</x:v>
      </x:c>
      <x:c r="H135" s="4" t="str"/>
      <x:c r="I135" s="4" t="str">
        <x:v>当前页面未列入</x:v>
      </x:c>
      <x:c r="J135" s="4" t="str">
        <x:v>未记录</x:v>
      </x:c>
      <x:c r="K135" s="4" t="str">
        <x:v>未获取</x:v>
      </x:c>
      <x:c r="L135" s="4" t="str">
        <x:v>未记录</x:v>
      </x:c>
      <x:c r="M135" s="4" t="n">
        <x:v>0</x:v>
      </x:c>
      <x:c r="N135" s="4"/>
      <x:c r="O135" s="4"/>
      <x:c r="P135" s="9"/>
      <x:c r="Q135" s="4"/>
      <x:c r="R135" s="4" t="str">
        <x:v>缺少明确功能描述，不按依赖或语言强行归类</x:v>
      </x:c>
      <x:c r="S135" s="4" t="str">
        <x:v>GitHub月榜24-26</x:v>
      </x:c>
      <x:c r="T135" s="4" t="n">
        <x:v>133</x:v>
      </x:c>
      <x:c r="U135" s="4" t="str">
        <x:v>https://github.com/ayghri/i-have-adhd</x:v>
      </x:c>
      <x:c r="V135" s="4" t="str">
        <x:v>ayghri/i-have-adhd</x:v>
      </x:c>
    </x:row>
    <x:row r="136" ht="44" customHeight="1">
      <x:c r="A136" s="4" t="n">
        <x:v>131</x:v>
      </x:c>
      <x:c r="B136" s="4" t="str">
        <x:v>badlogic/pi-mono</x:v>
      </x:c>
      <x:c r="C136" s="4" t="n">
        <x:v>14</x:v>
      </x:c>
      <x:c r="D136" s="4" t="str">
        <x:v>软件构建、开发与测试</x:v>
      </x:c>
      <x:c r="E136" s="4" t="str">
        <x:v>本地证据分类</x:v>
      </x:c>
      <x:c r="F136" s="4" t="n">
        <x:v>1</x:v>
      </x:c>
      <x:c r="G136" s="4" t="str">
        <x:v>软件项目</x:v>
      </x:c>
      <x:c r="H136" s="4" t="str">
        <x:v>软件工程；编程Agent需额外挂13标签</x:v>
      </x:c>
      <x:c r="I136" s="4" t="str">
        <x:v>Agent 与 AI 应用</x:v>
      </x:c>
      <x:c r="J136" s="4" t="str">
        <x:v>JavaScript/TypeScript</x:v>
      </x:c>
      <x:c r="K136" s="4" t="str">
        <x:v>未获取</x:v>
      </x:c>
      <x:c r="L136" s="4" t="str">
        <x:v>未记录</x:v>
      </x:c>
      <x:c r="M136" s="4" t="n">
        <x:v>2</x:v>
      </x:c>
      <x:c r="N136" s="4" t="n">
        <x:v>2</x:v>
      </x:c>
      <x:c r="O136" s="4" t="n">
        <x:v>0</x:v>
      </x:c>
      <x:c r="P136" s="9" t="n">
        <x:v>0</x:v>
      </x:c>
      <x:c r="Q136" s="4"/>
      <x:c r="R136" s="4" t="str">
        <x:v>项目名称/框架的明确功能定位；未逐一在线核验README</x:v>
      </x:c>
      <x:c r="S136" s="4" t="str">
        <x:v>GitHub月榜24-26</x:v>
      </x:c>
      <x:c r="T136" s="4" t="n">
        <x:v>134</x:v>
      </x:c>
      <x:c r="U136" s="4" t="str">
        <x:v>https://github.com/badlogic/pi-mono</x:v>
      </x:c>
      <x:c r="V136" s="4" t="str">
        <x:v>badlogic/pi-mono</x:v>
      </x:c>
    </x:row>
    <x:row r="137" ht="44" customHeight="1">
      <x:c r="A137" s="4" t="n">
        <x:v>132</x:v>
      </x:c>
      <x:c r="B137" s="4" t="str">
        <x:v>baidu/Unlimited-OCR</x:v>
      </x:c>
      <x:c r="C137" s="4" t="n">
        <x:v>11</x:v>
      </x:c>
      <x:c r="D137" s="4" t="str">
        <x:v>AI模型与机器学习</x:v>
      </x:c>
      <x:c r="E137" s="4" t="str">
        <x:v>本地证据分类</x:v>
      </x:c>
      <x:c r="F137" s="4" t="n">
        <x:v>1</x:v>
      </x:c>
      <x:c r="G137" s="4" t="str">
        <x:v>软件项目</x:v>
      </x:c>
      <x:c r="H137" s="4" t="str">
        <x:v>模型/OCR/多模态</x:v>
      </x:c>
      <x:c r="I137" s="4" t="str">
        <x:v>当前页面未列入</x:v>
      </x:c>
      <x:c r="J137" s="4" t="str">
        <x:v>未记录</x:v>
      </x:c>
      <x:c r="K137" s="4" t="str">
        <x:v>未获取</x:v>
      </x:c>
      <x:c r="L137" s="4" t="str">
        <x:v>未记录</x:v>
      </x:c>
      <x:c r="M137" s="4" t="n">
        <x:v>0</x:v>
      </x:c>
      <x:c r="N137" s="4"/>
      <x:c r="O137" s="4"/>
      <x:c r="P137" s="9"/>
      <x:c r="Q137" s="4"/>
      <x:c r="R137" s="4" t="str">
        <x:v>项目名称/框架的明确功能定位；未逐一在线核验README</x:v>
      </x:c>
      <x:c r="S137" s="4" t="str">
        <x:v>GitHub月榜24-26</x:v>
      </x:c>
      <x:c r="T137" s="4" t="n">
        <x:v>135</x:v>
      </x:c>
      <x:c r="U137" s="4" t="str">
        <x:v>https://github.com/baidu/Unlimited-OCR</x:v>
      </x:c>
      <x:c r="V137" s="4" t="str">
        <x:v>baidu/unlimited-ocr</x:v>
      </x:c>
    </x:row>
    <x:row r="138" ht="44" customHeight="1">
      <x:c r="A138" s="4" t="n">
        <x:v>133</x:v>
      </x:c>
      <x:c r="B138" s="4" t="str">
        <x:v>basecamp/fizzy</x:v>
      </x:c>
      <x:c r="C138" s="4" t="n">
        <x:v>6</x:v>
      </x:c>
      <x:c r="D138" s="4" t="str">
        <x:v>后端服务与业务流程</x:v>
      </x:c>
      <x:c r="E138" s="4" t="str">
        <x:v>本地证据分类</x:v>
      </x:c>
      <x:c r="F138" s="4" t="n">
        <x:v>1</x:v>
      </x:c>
      <x:c r="G138" s="4" t="str">
        <x:v>软件项目</x:v>
      </x:c>
      <x:c r="H138" s="4" t="str">
        <x:v>业务应用/确定性工作流</x:v>
      </x:c>
      <x:c r="I138" s="4" t="str">
        <x:v>当前页面未列入</x:v>
      </x:c>
      <x:c r="J138" s="4" t="str">
        <x:v>未记录</x:v>
      </x:c>
      <x:c r="K138" s="4" t="str">
        <x:v>未获取</x:v>
      </x:c>
      <x:c r="L138" s="4" t="str">
        <x:v>未记录</x:v>
      </x:c>
      <x:c r="M138" s="4" t="n">
        <x:v>0</x:v>
      </x:c>
      <x:c r="N138" s="4"/>
      <x:c r="O138" s="4"/>
      <x:c r="P138" s="9"/>
      <x:c r="Q138" s="4"/>
      <x:c r="R138" s="4" t="str">
        <x:v>项目名称/框架的明确功能定位；未逐一在线核验README</x:v>
      </x:c>
      <x:c r="S138" s="4" t="str">
        <x:v>GitHub月榜24-26</x:v>
      </x:c>
      <x:c r="T138" s="4" t="n">
        <x:v>136</x:v>
      </x:c>
      <x:c r="U138" s="4" t="str">
        <x:v>https://github.com/basecamp/fizzy</x:v>
      </x:c>
      <x:c r="V138" s="4" t="str">
        <x:v>basecamp/fizzy</x:v>
      </x:c>
    </x:row>
    <x:row r="139" ht="44" customHeight="1">
      <x:c r="A139" s="4" t="n">
        <x:v>134</x:v>
      </x:c>
      <x:c r="B139" s="4" t="str">
        <x:v>basecamp/omarchy</x:v>
      </x:c>
      <x:c r="C139" s="4" t="n">
        <x:v>2</x:v>
      </x:c>
      <x:c r="D139" s="4" t="str">
        <x:v>系统资源与原生互操作</x:v>
      </x:c>
      <x:c r="E139" s="4" t="str">
        <x:v>本地证据分类</x:v>
      </x:c>
      <x:c r="F139" s="4" t="n">
        <x:v>1</x:v>
      </x:c>
      <x:c r="G139" s="4" t="str">
        <x:v>软件项目</x:v>
      </x:c>
      <x:c r="H139" s="4" t="str">
        <x:v>原生/系统接口</x:v>
      </x:c>
      <x:c r="I139" s="4" t="str">
        <x:v>当前页面未列入</x:v>
      </x:c>
      <x:c r="J139" s="4" t="str">
        <x:v>未记录</x:v>
      </x:c>
      <x:c r="K139" s="4" t="str">
        <x:v>未获取</x:v>
      </x:c>
      <x:c r="L139" s="4" t="str">
        <x:v>未记录</x:v>
      </x:c>
      <x:c r="M139" s="4" t="n">
        <x:v>0</x:v>
      </x:c>
      <x:c r="N139" s="4"/>
      <x:c r="O139" s="4"/>
      <x:c r="P139" s="9"/>
      <x:c r="Q139" s="4"/>
      <x:c r="R139" s="4" t="str">
        <x:v>项目名称/框架的明确功能定位；未逐一在线核验README</x:v>
      </x:c>
      <x:c r="S139" s="4" t="str">
        <x:v>GitHub月榜24-26</x:v>
      </x:c>
      <x:c r="T139" s="4" t="n">
        <x:v>137</x:v>
      </x:c>
      <x:c r="U139" s="4" t="str">
        <x:v>https://github.com/basecamp/omarchy</x:v>
      </x:c>
      <x:c r="V139" s="4" t="str">
        <x:v>basecamp/omarchy</x:v>
      </x:c>
    </x:row>
    <x:row r="140" ht="44" customHeight="1">
      <x:c r="A140" s="4" t="n">
        <x:v>135</x:v>
      </x:c>
      <x:c r="B140" s="4" t="str">
        <x:v>better-auth/better-auth</x:v>
      </x:c>
      <x:c r="C140" s="4" t="n">
        <x:v>4</x:v>
      </x:c>
      <x:c r="D140" s="4" t="str">
        <x:v>安全与身份认证</x:v>
      </x:c>
      <x:c r="E140" s="4" t="str">
        <x:v>本地证据分类</x:v>
      </x:c>
      <x:c r="F140" s="4" t="n">
        <x:v>1</x:v>
      </x:c>
      <x:c r="G140" s="4" t="str">
        <x:v>软件项目</x:v>
      </x:c>
      <x:c r="H140" s="4" t="str">
        <x:v>安全审计</x:v>
      </x:c>
      <x:c r="I140" s="4" t="str">
        <x:v>行业与其他应用</x:v>
      </x:c>
      <x:c r="J140" s="4" t="str">
        <x:v>JavaScript/TypeScript</x:v>
      </x:c>
      <x:c r="K140" s="4" t="str">
        <x:v>未获取</x:v>
      </x:c>
      <x:c r="L140" s="4" t="str">
        <x:v>未记录</x:v>
      </x:c>
      <x:c r="M140" s="4" t="n">
        <x:v>7</x:v>
      </x:c>
      <x:c r="N140" s="4" t="n">
        <x:v>7</x:v>
      </x:c>
      <x:c r="O140" s="4" t="n">
        <x:v>5</x:v>
      </x:c>
      <x:c r="P140" s="9" t="n">
        <x:v>0.7142857142857143</x:v>
      </x:c>
      <x:c r="Q140" s="4"/>
      <x:c r="R140" s="4" t="str">
        <x:v>项目名称/框架的明确功能定位；未逐一在线核验README</x:v>
      </x:c>
      <x:c r="S140" s="4" t="str">
        <x:v>GitHub月榜24-26</x:v>
      </x:c>
      <x:c r="T140" s="4" t="n">
        <x:v>138</x:v>
      </x:c>
      <x:c r="U140" s="4" t="str">
        <x:v>https://github.com/better-auth/better-auth</x:v>
      </x:c>
      <x:c r="V140" s="4" t="str">
        <x:v>better-auth/better-auth</x:v>
      </x:c>
    </x:row>
    <x:row r="141" ht="44" customHeight="1">
      <x:c r="A141" s="4" t="n">
        <x:v>136</x:v>
      </x:c>
      <x:c r="B141" s="4" t="str">
        <x:v>bigskysoftware/htmx</x:v>
      </x:c>
      <x:c r="C141" s="4" t="n">
        <x:v>7</x:v>
      </x:c>
      <x:c r="D141" s="4" t="str">
        <x:v>用户界面与交互</x:v>
      </x:c>
      <x:c r="E141" s="4" t="str">
        <x:v>本地证据分类</x:v>
      </x:c>
      <x:c r="F141" s="4" t="n">
        <x:v>1</x:v>
      </x:c>
      <x:c r="G141" s="4" t="str">
        <x:v>软件项目</x:v>
      </x:c>
      <x:c r="H141" s="4" t="str">
        <x:v>交互/跨端框架</x:v>
      </x:c>
      <x:c r="I141" s="4" t="str">
        <x:v>Web 与业务服务</x:v>
      </x:c>
      <x:c r="J141" s="4" t="str">
        <x:v>JavaScript/TypeScript</x:v>
      </x:c>
      <x:c r="K141" s="4" t="str">
        <x:v>未获取</x:v>
      </x:c>
      <x:c r="L141" s="4" t="str">
        <x:v>未记录</x:v>
      </x:c>
      <x:c r="M141" s="4" t="n">
        <x:v>7</x:v>
      </x:c>
      <x:c r="N141" s="4" t="n">
        <x:v>7</x:v>
      </x:c>
      <x:c r="O141" s="4" t="n">
        <x:v>5</x:v>
      </x:c>
      <x:c r="P141" s="9" t="n">
        <x:v>0.7142857142857143</x:v>
      </x:c>
      <x:c r="Q141" s="4"/>
      <x:c r="R141" s="4" t="str">
        <x:v>项目名称/框架的明确功能定位；未逐一在线核验README</x:v>
      </x:c>
      <x:c r="S141" s="4" t="str">
        <x:v>GitHub月榜24-26</x:v>
      </x:c>
      <x:c r="T141" s="4" t="n">
        <x:v>139</x:v>
      </x:c>
      <x:c r="U141" s="4" t="str">
        <x:v>https://github.com/bigskysoftware/htmx</x:v>
      </x:c>
      <x:c r="V141" s="4" t="str">
        <x:v>bigskysoftware/htmx</x:v>
      </x:c>
    </x:row>
    <x:row r="142" ht="44" customHeight="1">
      <x:c r="A142" s="4" t="n">
        <x:v>137</x:v>
      </x:c>
      <x:c r="B142" s="4" t="str">
        <x:v>binwiederhier/ntfy</x:v>
      </x:c>
      <x:c r="C142" s="4" t="n">
        <x:v>3</x:v>
      </x:c>
      <x:c r="D142" s="4" t="str">
        <x:v>网络与通信协议</x:v>
      </x:c>
      <x:c r="E142" s="4" t="str">
        <x:v>本地证据分类</x:v>
      </x:c>
      <x:c r="F142" s="4" t="n">
        <x:v>1</x:v>
      </x:c>
      <x:c r="G142" s="4" t="str">
        <x:v>软件项目</x:v>
      </x:c>
      <x:c r="H142" s="4" t="str">
        <x:v>网络通信</x:v>
      </x:c>
      <x:c r="I142" s="4" t="str">
        <x:v>行业与其他应用</x:v>
      </x:c>
      <x:c r="J142" s="4" t="str">
        <x:v>Python</x:v>
      </x:c>
      <x:c r="K142" s="4" t="str">
        <x:v>未获取</x:v>
      </x:c>
      <x:c r="L142" s="4" t="str">
        <x:v>未记录</x:v>
      </x:c>
      <x:c r="M142" s="4" t="n">
        <x:v>2</x:v>
      </x:c>
      <x:c r="N142" s="4" t="n">
        <x:v>2</x:v>
      </x:c>
      <x:c r="O142" s="4" t="n">
        <x:v>1</x:v>
      </x:c>
      <x:c r="P142" s="9" t="n">
        <x:v>0.5</x:v>
      </x:c>
      <x:c r="Q142" s="4"/>
      <x:c r="R142" s="4" t="str">
        <x:v>项目名称/框架的明确功能定位；未逐一在线核验README</x:v>
      </x:c>
      <x:c r="S142" s="4" t="str">
        <x:v>GitHub月榜24-26</x:v>
      </x:c>
      <x:c r="T142" s="4" t="n">
        <x:v>140</x:v>
      </x:c>
      <x:c r="U142" s="4" t="str">
        <x:v>https://github.com/binwiederhier/ntfy</x:v>
      </x:c>
      <x:c r="V142" s="4" t="str">
        <x:v>binwiederhier/ntfy</x:v>
      </x:c>
    </x:row>
    <x:row r="143" ht="44" customHeight="1">
      <x:c r="A143" s="4" t="n">
        <x:v>138</x:v>
      </x:c>
      <x:c r="B143" s="4" t="str">
        <x:v>black-forest-labs/flux</x:v>
      </x:c>
      <x:c r="C143" s="4" t="n">
        <x:v>11</x:v>
      </x:c>
      <x:c r="D143" s="4" t="str">
        <x:v>AI模型与机器学习</x:v>
      </x:c>
      <x:c r="E143" s="4" t="str">
        <x:v>本地证据分类</x:v>
      </x:c>
      <x:c r="F143" s="4" t="n">
        <x:v>1</x:v>
      </x:c>
      <x:c r="G143" s="4" t="str">
        <x:v>软件项目</x:v>
      </x:c>
      <x:c r="H143" s="4" t="str">
        <x:v>AI模型/推理</x:v>
      </x:c>
      <x:c r="I143" s="4" t="str">
        <x:v>Agent 与 AI 应用</x:v>
      </x:c>
      <x:c r="J143" s="4" t="str">
        <x:v>Python</x:v>
      </x:c>
      <x:c r="K143" s="4" t="str">
        <x:v>未获取</x:v>
      </x:c>
      <x:c r="L143" s="4" t="str">
        <x:v>未记录</x:v>
      </x:c>
      <x:c r="M143" s="4" t="n">
        <x:v>11</x:v>
      </x:c>
      <x:c r="N143" s="4" t="n">
        <x:v>11</x:v>
      </x:c>
      <x:c r="O143" s="4" t="n">
        <x:v>7</x:v>
      </x:c>
      <x:c r="P143" s="9" t="n">
        <x:v>0.6363636363636364</x:v>
      </x:c>
      <x:c r="Q143" s="4"/>
      <x:c r="R143" s="4" t="str">
        <x:v>项目名称/框架的明确功能定位；未逐一在线核验README</x:v>
      </x:c>
      <x:c r="S143" s="4" t="str">
        <x:v>GitHub月榜24-26</x:v>
      </x:c>
      <x:c r="T143" s="4" t="n">
        <x:v>141</x:v>
      </x:c>
      <x:c r="U143" s="4" t="str">
        <x:v>https://github.com/black-forest-labs/flux</x:v>
      </x:c>
      <x:c r="V143" s="4" t="str">
        <x:v>black-forest-labs/flux</x:v>
      </x:c>
    </x:row>
    <x:row r="144" ht="44" customHeight="1">
      <x:c r="A144" s="4" t="n">
        <x:v>139</x:v>
      </x:c>
      <x:c r="B144" s="4" t="str">
        <x:v>blakeblackshear/frigate</x:v>
      </x:c>
      <x:c r="C144" s="4"/>
      <x:c r="D144" s="4" t="str">
        <x:v>未归入15类</x:v>
      </x:c>
      <x:c r="E144" s="4" t="str">
        <x:v>信息不足</x:v>
      </x:c>
      <x:c r="F144" s="4" t="n">
        <x:v>1</x:v>
      </x:c>
      <x:c r="G144" s="4" t="str">
        <x:v>待确认项目</x:v>
      </x:c>
      <x:c r="H144" s="4" t="str"/>
      <x:c r="I144" s="4" t="str">
        <x:v>当前页面未列入</x:v>
      </x:c>
      <x:c r="J144" s="4" t="str">
        <x:v>未记录</x:v>
      </x:c>
      <x:c r="K144" s="4" t="str">
        <x:v>未获取</x:v>
      </x:c>
      <x:c r="L144" s="4" t="str">
        <x:v>未记录</x:v>
      </x:c>
      <x:c r="M144" s="4" t="n">
        <x:v>0</x:v>
      </x:c>
      <x:c r="N144" s="4"/>
      <x:c r="O144" s="4"/>
      <x:c r="P144" s="9"/>
      <x:c r="Q144" s="4"/>
      <x:c r="R144" s="4" t="str">
        <x:v>缺少明确功能描述，不按依赖或语言强行归类</x:v>
      </x:c>
      <x:c r="S144" s="4" t="str">
        <x:v>GitHub月榜24-26</x:v>
      </x:c>
      <x:c r="T144" s="4" t="n">
        <x:v>142</x:v>
      </x:c>
      <x:c r="U144" s="4" t="str">
        <x:v>https://github.com/blakeblackshear/frigate</x:v>
      </x:c>
      <x:c r="V144" s="4" t="str">
        <x:v>blakeblackshear/frigate</x:v>
      </x:c>
    </x:row>
    <x:row r="145" ht="44" customHeight="1">
      <x:c r="A145" s="4" t="n">
        <x:v>140</x:v>
      </x:c>
      <x:c r="B145" s="4" t="str">
        <x:v>block/buzz</x:v>
      </x:c>
      <x:c r="C145" s="4"/>
      <x:c r="D145" s="4" t="str">
        <x:v>未归入15类</x:v>
      </x:c>
      <x:c r="E145" s="4" t="str">
        <x:v>信息不足</x:v>
      </x:c>
      <x:c r="F145" s="4" t="n">
        <x:v>1</x:v>
      </x:c>
      <x:c r="G145" s="4" t="str">
        <x:v>待确认项目</x:v>
      </x:c>
      <x:c r="H145" s="4" t="str"/>
      <x:c r="I145" s="4" t="str">
        <x:v>当前页面未列入</x:v>
      </x:c>
      <x:c r="J145" s="4" t="str">
        <x:v>未记录</x:v>
      </x:c>
      <x:c r="K145" s="4" t="str">
        <x:v>未获取</x:v>
      </x:c>
      <x:c r="L145" s="4" t="str">
        <x:v>未记录</x:v>
      </x:c>
      <x:c r="M145" s="4" t="n">
        <x:v>0</x:v>
      </x:c>
      <x:c r="N145" s="4"/>
      <x:c r="O145" s="4"/>
      <x:c r="P145" s="9"/>
      <x:c r="Q145" s="4"/>
      <x:c r="R145" s="4" t="str">
        <x:v>缺少明确功能描述，不按依赖或语言强行归类</x:v>
      </x:c>
      <x:c r="S145" s="4" t="str">
        <x:v>GitHub月榜24-26</x:v>
      </x:c>
      <x:c r="T145" s="4" t="n">
        <x:v>143</x:v>
      </x:c>
      <x:c r="U145" s="4" t="str">
        <x:v>https://github.com/block/buzz</x:v>
      </x:c>
      <x:c r="V145" s="4" t="str">
        <x:v>block/buzz</x:v>
      </x:c>
    </x:row>
    <x:row r="146" ht="44" customHeight="1">
      <x:c r="A146" s="4" t="n">
        <x:v>141</x:v>
      </x:c>
      <x:c r="B146" s="4" t="str">
        <x:v>block/goose</x:v>
      </x:c>
      <x:c r="C146" s="4" t="n">
        <x:v>13</x:v>
      </x:c>
      <x:c r="D146" s="4" t="str">
        <x:v>Agent编排与工具执行</x:v>
      </x:c>
      <x:c r="E146" s="4" t="str">
        <x:v>本地证据分类</x:v>
      </x:c>
      <x:c r="F146" s="4" t="n">
        <x:v>1</x:v>
      </x:c>
      <x:c r="G146" s="4" t="str">
        <x:v>软件项目</x:v>
      </x:c>
      <x:c r="H146" s="4" t="str">
        <x:v>Agent编排/工具服务</x:v>
      </x:c>
      <x:c r="I146" s="4" t="str">
        <x:v>当前页面未列入</x:v>
      </x:c>
      <x:c r="J146" s="4" t="str">
        <x:v>未记录</x:v>
      </x:c>
      <x:c r="K146" s="4" t="str">
        <x:v>未获取</x:v>
      </x:c>
      <x:c r="L146" s="4" t="str">
        <x:v>未记录</x:v>
      </x:c>
      <x:c r="M146" s="4" t="n">
        <x:v>0</x:v>
      </x:c>
      <x:c r="N146" s="4"/>
      <x:c r="O146" s="4"/>
      <x:c r="P146" s="9"/>
      <x:c r="Q146" s="4"/>
      <x:c r="R146" s="4" t="str">
        <x:v>项目名称/框架的明确功能定位；未逐一在线核验README</x:v>
      </x:c>
      <x:c r="S146" s="4" t="str">
        <x:v>GitHub月榜24-26</x:v>
      </x:c>
      <x:c r="T146" s="4" t="n">
        <x:v>144</x:v>
      </x:c>
      <x:c r="U146" s="4" t="str">
        <x:v>https://github.com/block/goose</x:v>
      </x:c>
      <x:c r="V146" s="4" t="str">
        <x:v>block/goose</x:v>
      </x:c>
    </x:row>
    <x:row r="147" ht="44" customHeight="1">
      <x:c r="A147" s="4" t="n">
        <x:v>142</x:v>
      </x:c>
      <x:c r="B147" s="4" t="str">
        <x:v>bluesky-social/social-app</x:v>
      </x:c>
      <x:c r="C147" s="4" t="n">
        <x:v>6</x:v>
      </x:c>
      <x:c r="D147" s="4" t="str">
        <x:v>后端服务与业务流程</x:v>
      </x:c>
      <x:c r="E147" s="4" t="str">
        <x:v>本地证据分类</x:v>
      </x:c>
      <x:c r="F147" s="4" t="n">
        <x:v>1</x:v>
      </x:c>
      <x:c r="G147" s="4" t="str">
        <x:v>软件项目</x:v>
      </x:c>
      <x:c r="H147" s="4" t="str">
        <x:v>业务应用/确定性工作流</x:v>
      </x:c>
      <x:c r="I147" s="4" t="str">
        <x:v>多媒体与图形</x:v>
      </x:c>
      <x:c r="J147" s="4" t="str">
        <x:v>JavaScript/TypeScript</x:v>
      </x:c>
      <x:c r="K147" s="4" t="str">
        <x:v>未获取</x:v>
      </x:c>
      <x:c r="L147" s="4" t="str">
        <x:v>未记录</x:v>
      </x:c>
      <x:c r="M147" s="4" t="n">
        <x:v>167</x:v>
      </x:c>
      <x:c r="N147" s="4" t="n">
        <x:v>167</x:v>
      </x:c>
      <x:c r="O147" s="4" t="n">
        <x:v>95</x:v>
      </x:c>
      <x:c r="P147" s="9" t="n">
        <x:v>0.5688622754491018</x:v>
      </x:c>
      <x:c r="Q147" s="4"/>
      <x:c r="R147" s="4" t="str">
        <x:v>项目名称/框架的明确功能定位；未逐一在线核验README</x:v>
      </x:c>
      <x:c r="S147" s="4" t="str">
        <x:v>GitHub月榜24-26</x:v>
      </x:c>
      <x:c r="T147" s="4" t="n">
        <x:v>145</x:v>
      </x:c>
      <x:c r="U147" s="4" t="str">
        <x:v>https://github.com/bluesky-social/social-app</x:v>
      </x:c>
      <x:c r="V147" s="4" t="str">
        <x:v>bluesky-social/social-app</x:v>
      </x:c>
    </x:row>
    <x:row r="148" ht="44" customHeight="1">
      <x:c r="A148" s="4" t="n">
        <x:v>143</x:v>
      </x:c>
      <x:c r="B148" s="4" t="str">
        <x:v>bobeff/open-source-games</x:v>
      </x:c>
      <x:c r="C148" s="4"/>
      <x:c r="D148" s="4" t="str">
        <x:v>未归入15类</x:v>
      </x:c>
      <x:c r="E148" s="4" t="str">
        <x:v>范围排除</x:v>
      </x:c>
      <x:c r="F148" s="4" t="n">
        <x:v>0</x:v>
      </x:c>
      <x:c r="G148" s="4" t="str">
        <x:v>教程/资源/技能资产</x:v>
      </x:c>
      <x:c r="H148" s="4" t="str">
        <x:v>知识/数据资产</x:v>
      </x:c>
      <x:c r="I148" s="4" t="str">
        <x:v>当前页面未列入</x:v>
      </x:c>
      <x:c r="J148" s="4" t="str">
        <x:v>未记录</x:v>
      </x:c>
      <x:c r="K148" s="4" t="str">
        <x:v>未获取</x:v>
      </x:c>
      <x:c r="L148" s="4" t="str">
        <x:v>未记录</x:v>
      </x:c>
      <x:c r="M148" s="4" t="n">
        <x:v>0</x:v>
      </x:c>
      <x:c r="N148" s="4"/>
      <x:c r="O148" s="4"/>
      <x:c r="P148" s="9"/>
      <x:c r="Q148" s="4"/>
      <x:c r="R148" s="4" t="str">
        <x:v>按项目名称与已获取定位识别为知识、数据或技能资源；非独立软件能力证据</x:v>
      </x:c>
      <x:c r="S148" s="4" t="str">
        <x:v>GitHub月榜24-26</x:v>
      </x:c>
      <x:c r="T148" s="4" t="n">
        <x:v>146</x:v>
      </x:c>
      <x:c r="U148" s="4" t="str">
        <x:v>https://github.com/bobeff/open-source-games</x:v>
      </x:c>
      <x:c r="V148" s="4" t="str">
        <x:v>bobeff/open-source-games</x:v>
      </x:c>
    </x:row>
    <x:row r="149" ht="44" customHeight="1">
      <x:c r="A149" s="4" t="n">
        <x:v>144</x:v>
      </x:c>
      <x:c r="B149" s="4" t="str">
        <x:v>bojieli/ai-agent-book</x:v>
      </x:c>
      <x:c r="C149" s="4"/>
      <x:c r="D149" s="4" t="str">
        <x:v>未归入15类</x:v>
      </x:c>
      <x:c r="E149" s="4" t="str">
        <x:v>范围排除</x:v>
      </x:c>
      <x:c r="F149" s="4" t="n">
        <x:v>0</x:v>
      </x:c>
      <x:c r="G149" s="4" t="str">
        <x:v>教程/资源/技能资产</x:v>
      </x:c>
      <x:c r="H149" s="4" t="str">
        <x:v>Agent资源（不等于运行时）</x:v>
      </x:c>
      <x:c r="I149" s="4" t="str">
        <x:v>Agent 与 AI 应用</x:v>
      </x:c>
      <x:c r="J149" s="4" t="str">
        <x:v>Python</x:v>
      </x:c>
      <x:c r="K149" s="4" t="str">
        <x:v>未获取</x:v>
      </x:c>
      <x:c r="L149" s="4" t="str">
        <x:v>未记录</x:v>
      </x:c>
      <x:c r="M149" s="4" t="n">
        <x:v>4</x:v>
      </x:c>
      <x:c r="N149" s="4" t="n">
        <x:v>4</x:v>
      </x:c>
      <x:c r="O149" s="4" t="n">
        <x:v>3</x:v>
      </x:c>
      <x:c r="P149" s="9" t="n">
        <x:v>0.75</x:v>
      </x:c>
      <x:c r="Q149" s="4"/>
      <x:c r="R149" s="4" t="str">
        <x:v>按项目名称与已获取定位识别为知识、数据或技能资源；非独立软件能力证据</x:v>
      </x:c>
      <x:c r="S149" s="4" t="str">
        <x:v>GitHub月榜24-26</x:v>
      </x:c>
      <x:c r="T149" s="4" t="n">
        <x:v>147</x:v>
      </x:c>
      <x:c r="U149" s="4" t="str">
        <x:v>https://github.com/bojieli/ai-agent-book</x:v>
      </x:c>
      <x:c r="V149" s="4" t="str">
        <x:v>bojieli/ai-agent-book</x:v>
      </x:c>
    </x:row>
    <x:row r="150" ht="44" customHeight="1">
      <x:c r="A150" s="4" t="n">
        <x:v>145</x:v>
      </x:c>
      <x:c r="B150" s="4" t="str">
        <x:v>bradautomates/claude-video</x:v>
      </x:c>
      <x:c r="C150" s="4"/>
      <x:c r="D150" s="4" t="str">
        <x:v>未归入15类</x:v>
      </x:c>
      <x:c r="E150" s="4" t="str">
        <x:v>信息不足</x:v>
      </x:c>
      <x:c r="F150" s="4" t="n">
        <x:v>1</x:v>
      </x:c>
      <x:c r="G150" s="4" t="str">
        <x:v>待确认项目</x:v>
      </x:c>
      <x:c r="H150" s="4" t="str"/>
      <x:c r="I150" s="4" t="str">
        <x:v>当前页面未列入</x:v>
      </x:c>
      <x:c r="J150" s="4" t="str">
        <x:v>未记录</x:v>
      </x:c>
      <x:c r="K150" s="4" t="str">
        <x:v>未获取</x:v>
      </x:c>
      <x:c r="L150" s="4" t="str">
        <x:v>未记录</x:v>
      </x:c>
      <x:c r="M150" s="4" t="n">
        <x:v>0</x:v>
      </x:c>
      <x:c r="N150" s="4"/>
      <x:c r="O150" s="4"/>
      <x:c r="P150" s="9"/>
      <x:c r="Q150" s="4"/>
      <x:c r="R150" s="4" t="str">
        <x:v>缺少明确功能描述，不按依赖或语言强行归类</x:v>
      </x:c>
      <x:c r="S150" s="4" t="str">
        <x:v>GitHub月榜24-26</x:v>
      </x:c>
      <x:c r="T150" s="4" t="n">
        <x:v>148</x:v>
      </x:c>
      <x:c r="U150" s="4" t="str">
        <x:v>https://github.com/bradautomates/claude-video</x:v>
      </x:c>
      <x:c r="V150" s="4" t="str">
        <x:v>bradautomates/claude-video</x:v>
      </x:c>
    </x:row>
    <x:row r="151" ht="44" customHeight="1">
      <x:c r="A151" s="4" t="n">
        <x:v>146</x:v>
      </x:c>
      <x:c r="B151" s="4" t="str">
        <x:v>bregman-arie/devops-exercises</x:v>
      </x:c>
      <x:c r="C151" s="4"/>
      <x:c r="D151" s="4" t="str">
        <x:v>未归入15类</x:v>
      </x:c>
      <x:c r="E151" s="4" t="str">
        <x:v>范围排除</x:v>
      </x:c>
      <x:c r="F151" s="4" t="n">
        <x:v>0</x:v>
      </x:c>
      <x:c r="G151" s="4" t="str">
        <x:v>教程/资源/技能资产</x:v>
      </x:c>
      <x:c r="H151" s="4" t="str">
        <x:v>知识/数据资产</x:v>
      </x:c>
      <x:c r="I151" s="4" t="str">
        <x:v>当前页面未列入</x:v>
      </x:c>
      <x:c r="J151" s="4" t="str">
        <x:v>未记录</x:v>
      </x:c>
      <x:c r="K151" s="4" t="str">
        <x:v>未获取</x:v>
      </x:c>
      <x:c r="L151" s="4" t="str">
        <x:v>未记录</x:v>
      </x:c>
      <x:c r="M151" s="4" t="n">
        <x:v>0</x:v>
      </x:c>
      <x:c r="N151" s="4"/>
      <x:c r="O151" s="4"/>
      <x:c r="P151" s="9"/>
      <x:c r="Q151" s="4"/>
      <x:c r="R151" s="4" t="str">
        <x:v>按项目名称与已获取定位识别为知识、数据或技能资源；非独立软件能力证据</x:v>
      </x:c>
      <x:c r="S151" s="4" t="str">
        <x:v>GitHub月榜24-26</x:v>
      </x:c>
      <x:c r="T151" s="4" t="n">
        <x:v>149</x:v>
      </x:c>
      <x:c r="U151" s="4" t="str">
        <x:v>https://github.com/bregman-arie/devops-exercises</x:v>
      </x:c>
      <x:c r="V151" s="4" t="str">
        <x:v>bregman-arie/devops-exercises</x:v>
      </x:c>
    </x:row>
    <x:row r="152" ht="44" customHeight="1">
      <x:c r="A152" s="4" t="n">
        <x:v>147</x:v>
      </x:c>
      <x:c r="B152" s="4" t="str">
        <x:v>browser-use/browser-use</x:v>
      </x:c>
      <x:c r="C152" s="4" t="n">
        <x:v>12</x:v>
      </x:c>
      <x:c r="D152" s="4" t="str">
        <x:v>办公软件与桌面操作自动化</x:v>
      </x:c>
      <x:c r="E152" s="4" t="str">
        <x:v>元数据已核验</x:v>
      </x:c>
      <x:c r="F152" s="4" t="n">
        <x:v>1</x:v>
      </x:c>
      <x:c r="G152" s="4" t="str">
        <x:v>软件项目</x:v>
      </x:c>
      <x:c r="H152" s="4" t="str">
        <x:v>办公/浏览器执行</x:v>
      </x:c>
      <x:c r="I152" s="4" t="str">
        <x:v>浏览器自动化与数据采集</x:v>
      </x:c>
      <x:c r="J152" s="4" t="str">
        <x:v>Python</x:v>
      </x:c>
      <x:c r="K152" s="4" t="str">
        <x:v>Python</x:v>
      </x:c>
      <x:c r="L152" s="4" t="str">
        <x:v>未记录</x:v>
      </x:c>
      <x:c r="M152" s="4" t="n">
        <x:v>36</x:v>
      </x:c>
      <x:c r="N152" s="4" t="n">
        <x:v>36</x:v>
      </x:c>
      <x:c r="O152" s="4" t="n">
        <x:v>24</x:v>
      </x:c>
      <x:c r="P152" s="9" t="n">
        <x:v>0.6666666666666666</x:v>
      </x:c>
      <x:c r="Q152" s="4"/>
      <x:c r="R152" s="4" t="str">
        <x:v>项目定位与GitHub描述人工对照</x:v>
      </x:c>
      <x:c r="S152" s="4" t="str">
        <x:v>GitHub月榜24-26</x:v>
      </x:c>
      <x:c r="T152" s="4" t="n">
        <x:v>150</x:v>
      </x:c>
      <x:c r="U152" s="4" t="str">
        <x:v>https://github.com/browser-use/browser-use</x:v>
      </x:c>
      <x:c r="V152" s="4" t="str">
        <x:v>browser-use/browser-use</x:v>
      </x:c>
    </x:row>
    <x:row r="153" ht="44" customHeight="1">
      <x:c r="A153" s="4" t="n">
        <x:v>148</x:v>
      </x:c>
      <x:c r="B153" s="4" t="str">
        <x:v>bytedance/UI-TARS-desktop</x:v>
      </x:c>
      <x:c r="C153" s="4" t="n">
        <x:v>12</x:v>
      </x:c>
      <x:c r="D153" s="4" t="str">
        <x:v>办公软件与桌面操作自动化</x:v>
      </x:c>
      <x:c r="E153" s="4" t="str">
        <x:v>本地证据分类</x:v>
      </x:c>
      <x:c r="F153" s="4" t="n">
        <x:v>1</x:v>
      </x:c>
      <x:c r="G153" s="4" t="str">
        <x:v>软件项目</x:v>
      </x:c>
      <x:c r="H153" s="4" t="str">
        <x:v>办公/浏览器执行</x:v>
      </x:c>
      <x:c r="I153" s="4" t="str">
        <x:v>桌面、TUI 与跨端应用</x:v>
      </x:c>
      <x:c r="J153" s="4" t="str">
        <x:v>JavaScript/TypeScript</x:v>
      </x:c>
      <x:c r="K153" s="4" t="str">
        <x:v>未获取</x:v>
      </x:c>
      <x:c r="L153" s="4" t="str">
        <x:v>未记录</x:v>
      </x:c>
      <x:c r="M153" s="4" t="n">
        <x:v>7</x:v>
      </x:c>
      <x:c r="N153" s="4" t="n">
        <x:v>7</x:v>
      </x:c>
      <x:c r="O153" s="4" t="n">
        <x:v>5</x:v>
      </x:c>
      <x:c r="P153" s="9" t="n">
        <x:v>0.7142857142857143</x:v>
      </x:c>
      <x:c r="Q153" s="4"/>
      <x:c r="R153" s="4" t="str">
        <x:v>项目名称/框架的明确功能定位；未逐一在线核验README</x:v>
      </x:c>
      <x:c r="S153" s="4" t="str">
        <x:v>GitHub月榜24-26</x:v>
      </x:c>
      <x:c r="T153" s="4" t="n">
        <x:v>151</x:v>
      </x:c>
      <x:c r="U153" s="4" t="str">
        <x:v>https://github.com/bytedance/UI-TARS-desktop</x:v>
      </x:c>
      <x:c r="V153" s="4" t="str">
        <x:v>bytedance/ui-tars-desktop</x:v>
      </x:c>
    </x:row>
    <x:row r="154" ht="44" customHeight="1">
      <x:c r="A154" s="4" t="n">
        <x:v>149</x:v>
      </x:c>
      <x:c r="B154" s="4" t="str">
        <x:v>bytedance/deer-flow</x:v>
      </x:c>
      <x:c r="C154" s="4" t="n">
        <x:v>13</x:v>
      </x:c>
      <x:c r="D154" s="4" t="str">
        <x:v>Agent编排与工具执行</x:v>
      </x:c>
      <x:c r="E154" s="4" t="str">
        <x:v>本地证据分类</x:v>
      </x:c>
      <x:c r="F154" s="4" t="n">
        <x:v>1</x:v>
      </x:c>
      <x:c r="G154" s="4" t="str">
        <x:v>软件项目</x:v>
      </x:c>
      <x:c r="H154" s="4" t="str">
        <x:v>Agent编排/工具服务</x:v>
      </x:c>
      <x:c r="I154" s="4" t="str">
        <x:v>当前页面未列入</x:v>
      </x:c>
      <x:c r="J154" s="4" t="str">
        <x:v>未记录</x:v>
      </x:c>
      <x:c r="K154" s="4" t="str">
        <x:v>未获取</x:v>
      </x:c>
      <x:c r="L154" s="4" t="str">
        <x:v>未记录</x:v>
      </x:c>
      <x:c r="M154" s="4" t="n">
        <x:v>0</x:v>
      </x:c>
      <x:c r="N154" s="4"/>
      <x:c r="O154" s="4"/>
      <x:c r="P154" s="9"/>
      <x:c r="Q154" s="4"/>
      <x:c r="R154" s="4" t="str">
        <x:v>项目名称/框架的明确功能定位；未逐一在线核验README</x:v>
      </x:c>
      <x:c r="S154" s="4" t="str">
        <x:v>GitHub月榜24-26</x:v>
      </x:c>
      <x:c r="T154" s="4" t="n">
        <x:v>152</x:v>
      </x:c>
      <x:c r="U154" s="4" t="str">
        <x:v>https://github.com/bytedance/deer-flow</x:v>
      </x:c>
      <x:c r="V154" s="4" t="str">
        <x:v>bytedance/deer-flow</x:v>
      </x:c>
    </x:row>
    <x:row r="155" ht="44" customHeight="1">
      <x:c r="A155" s="4" t="n">
        <x:v>150</x:v>
      </x:c>
      <x:c r="B155" s="4" t="str">
        <x:v>caddyserver/caddy</x:v>
      </x:c>
      <x:c r="C155" s="4" t="n">
        <x:v>3</x:v>
      </x:c>
      <x:c r="D155" s="4" t="str">
        <x:v>网络与通信协议</x:v>
      </x:c>
      <x:c r="E155" s="4" t="str">
        <x:v>本地证据分类</x:v>
      </x:c>
      <x:c r="F155" s="4" t="n">
        <x:v>1</x:v>
      </x:c>
      <x:c r="G155" s="4" t="str">
        <x:v>软件项目</x:v>
      </x:c>
      <x:c r="H155" s="4" t="str">
        <x:v>网络通信</x:v>
      </x:c>
      <x:c r="I155" s="4" t="str">
        <x:v>云原生、运维与安全</x:v>
      </x:c>
      <x:c r="J155" s="4" t="str">
        <x:v>Go</x:v>
      </x:c>
      <x:c r="K155" s="4" t="str">
        <x:v>未获取</x:v>
      </x:c>
      <x:c r="L155" s="4" t="str">
        <x:v>未记录</x:v>
      </x:c>
      <x:c r="M155" s="4" t="n">
        <x:v>165</x:v>
      </x:c>
      <x:c r="N155" s="4" t="n">
        <x:v>165</x:v>
      </x:c>
      <x:c r="O155" s="4" t="n">
        <x:v>0</x:v>
      </x:c>
      <x:c r="P155" s="9" t="n">
        <x:v>0</x:v>
      </x:c>
      <x:c r="Q155" s="4"/>
      <x:c r="R155" s="4" t="str">
        <x:v>项目名称/框架的明确功能定位；未逐一在线核验README</x:v>
      </x:c>
      <x:c r="S155" s="4" t="str">
        <x:v>GitHub月榜24-26</x:v>
      </x:c>
      <x:c r="T155" s="4" t="n">
        <x:v>153</x:v>
      </x:c>
      <x:c r="U155" s="4" t="str">
        <x:v>https://github.com/caddyserver/caddy</x:v>
      </x:c>
      <x:c r="V155" s="4" t="str">
        <x:v>caddyserver/caddy</x:v>
      </x:c>
    </x:row>
    <x:row r="156" ht="44" customHeight="1">
      <x:c r="A156" s="4" t="n">
        <x:v>151</x:v>
      </x:c>
      <x:c r="B156" s="4" t="str">
        <x:v>calesthio/OpenMontage</x:v>
      </x:c>
      <x:c r="C156" s="4"/>
      <x:c r="D156" s="4" t="str">
        <x:v>未归入15类</x:v>
      </x:c>
      <x:c r="E156" s="4" t="str">
        <x:v>信息不足</x:v>
      </x:c>
      <x:c r="F156" s="4" t="n">
        <x:v>1</x:v>
      </x:c>
      <x:c r="G156" s="4" t="str">
        <x:v>待确认项目</x:v>
      </x:c>
      <x:c r="H156" s="4" t="str"/>
      <x:c r="I156" s="4" t="str">
        <x:v>当前页面未列入</x:v>
      </x:c>
      <x:c r="J156" s="4" t="str">
        <x:v>未记录</x:v>
      </x:c>
      <x:c r="K156" s="4" t="str">
        <x:v>未获取</x:v>
      </x:c>
      <x:c r="L156" s="4" t="str">
        <x:v>未记录</x:v>
      </x:c>
      <x:c r="M156" s="4" t="n">
        <x:v>0</x:v>
      </x:c>
      <x:c r="N156" s="4"/>
      <x:c r="O156" s="4"/>
      <x:c r="P156" s="9"/>
      <x:c r="Q156" s="4"/>
      <x:c r="R156" s="4" t="str">
        <x:v>缺少明确功能描述，不按依赖或语言强行归类</x:v>
      </x:c>
      <x:c r="S156" s="4" t="str">
        <x:v>GitHub月榜24-26</x:v>
      </x:c>
      <x:c r="T156" s="4" t="n">
        <x:v>154</x:v>
      </x:c>
      <x:c r="U156" s="4" t="str">
        <x:v>https://github.com/calesthio/OpenMontage</x:v>
      </x:c>
      <x:c r="V156" s="4" t="str">
        <x:v>calesthio/openmontage</x:v>
      </x:c>
    </x:row>
    <x:row r="157" ht="44" customHeight="1">
      <x:c r="A157" s="4" t="n">
        <x:v>152</x:v>
      </x:c>
      <x:c r="B157" s="4" t="str">
        <x:v>cathrynlavery/diagram-design</x:v>
      </x:c>
      <x:c r="C157" s="4"/>
      <x:c r="D157" s="4" t="str">
        <x:v>未归入15类</x:v>
      </x:c>
      <x:c r="E157" s="4" t="str">
        <x:v>信息不足</x:v>
      </x:c>
      <x:c r="F157" s="4" t="n">
        <x:v>1</x:v>
      </x:c>
      <x:c r="G157" s="4" t="str">
        <x:v>待确认项目</x:v>
      </x:c>
      <x:c r="H157" s="4" t="str"/>
      <x:c r="I157" s="4" t="str">
        <x:v>当前页面未列入</x:v>
      </x:c>
      <x:c r="J157" s="4" t="str">
        <x:v>未记录</x:v>
      </x:c>
      <x:c r="K157" s="4" t="str">
        <x:v>未获取</x:v>
      </x:c>
      <x:c r="L157" s="4" t="str">
        <x:v>未记录</x:v>
      </x:c>
      <x:c r="M157" s="4" t="n">
        <x:v>0</x:v>
      </x:c>
      <x:c r="N157" s="4"/>
      <x:c r="O157" s="4"/>
      <x:c r="P157" s="9"/>
      <x:c r="Q157" s="4"/>
      <x:c r="R157" s="4" t="str">
        <x:v>缺少明确功能描述，不按依赖或语言强行归类</x:v>
      </x:c>
      <x:c r="S157" s="4" t="str">
        <x:v>GitHub月榜24-26</x:v>
      </x:c>
      <x:c r="T157" s="4" t="n">
        <x:v>155</x:v>
      </x:c>
      <x:c r="U157" s="4" t="str">
        <x:v>https://github.com/cathrynlavery/diagram-design</x:v>
      </x:c>
      <x:c r="V157" s="4" t="str">
        <x:v>cathrynlavery/diagram-design</x:v>
      </x:c>
    </x:row>
    <x:row r="158" ht="44" customHeight="1">
      <x:c r="A158" s="4" t="n">
        <x:v>153</x:v>
      </x:c>
      <x:c r="B158" s="4" t="str">
        <x:v>ccfos/nightingale</x:v>
      </x:c>
      <x:c r="C158" s="4" t="n">
        <x:v>15</x:v>
      </x:c>
      <x:c r="D158" s="4" t="str">
        <x:v>部署运维与可观测性</x:v>
      </x:c>
      <x:c r="E158" s="4" t="str">
        <x:v>本地证据分类</x:v>
      </x:c>
      <x:c r="F158" s="4" t="n">
        <x:v>1</x:v>
      </x:c>
      <x:c r="G158" s="4" t="str">
        <x:v>软件项目</x:v>
      </x:c>
      <x:c r="H158" s="4" t="str">
        <x:v>运维/可观测性</x:v>
      </x:c>
      <x:c r="I158" s="4" t="str">
        <x:v>数据库、存储与中间件</x:v>
      </x:c>
      <x:c r="J158" s="4" t="str">
        <x:v>Go</x:v>
      </x:c>
      <x:c r="K158" s="4" t="str">
        <x:v>未获取</x:v>
      </x:c>
      <x:c r="L158" s="4" t="str">
        <x:v>未记录</x:v>
      </x:c>
      <x:c r="M158" s="4" t="n">
        <x:v>211</x:v>
      </x:c>
      <x:c r="N158" s="4" t="n">
        <x:v>211</x:v>
      </x:c>
      <x:c r="O158" s="4" t="n">
        <x:v>0</x:v>
      </x:c>
      <x:c r="P158" s="9" t="n">
        <x:v>0</x:v>
      </x:c>
      <x:c r="Q158" s="4"/>
      <x:c r="R158" s="4" t="str">
        <x:v>项目名称/框架的明确功能定位；未逐一在线核验README</x:v>
      </x:c>
      <x:c r="S158" s="4" t="str">
        <x:v>GitHub月榜24-26</x:v>
      </x:c>
      <x:c r="T158" s="4" t="n">
        <x:v>156</x:v>
      </x:c>
      <x:c r="U158" s="4" t="str">
        <x:v>https://github.com/ccfos/nightingale</x:v>
      </x:c>
      <x:c r="V158" s="4" t="str">
        <x:v>ccfos/nightingale</x:v>
      </x:c>
    </x:row>
    <x:row r="159" ht="44" customHeight="1">
      <x:c r="A159" s="4" t="n">
        <x:v>154</x:v>
      </x:c>
      <x:c r="B159" s="4" t="str">
        <x:v>chaitin/PandaWiki</x:v>
      </x:c>
      <x:c r="C159" s="4" t="n">
        <x:v>6</x:v>
      </x:c>
      <x:c r="D159" s="4" t="str">
        <x:v>后端服务与业务流程</x:v>
      </x:c>
      <x:c r="E159" s="4" t="str">
        <x:v>本地证据分类</x:v>
      </x:c>
      <x:c r="F159" s="4" t="n">
        <x:v>1</x:v>
      </x:c>
      <x:c r="G159" s="4" t="str">
        <x:v>软件项目</x:v>
      </x:c>
      <x:c r="H159" s="4" t="str">
        <x:v>业务应用/确定性工作流</x:v>
      </x:c>
      <x:c r="I159" s="4" t="str">
        <x:v>当前页面未列入</x:v>
      </x:c>
      <x:c r="J159" s="4" t="str">
        <x:v>未记录</x:v>
      </x:c>
      <x:c r="K159" s="4" t="str">
        <x:v>未获取</x:v>
      </x:c>
      <x:c r="L159" s="4" t="str">
        <x:v>未记录</x:v>
      </x:c>
      <x:c r="M159" s="4" t="n">
        <x:v>0</x:v>
      </x:c>
      <x:c r="N159" s="4"/>
      <x:c r="O159" s="4"/>
      <x:c r="P159" s="9"/>
      <x:c r="Q159" s="4"/>
      <x:c r="R159" s="4" t="str">
        <x:v>项目名称/框架的明确功能定位；未逐一在线核验README</x:v>
      </x:c>
      <x:c r="S159" s="4" t="str">
        <x:v>GitHub月榜24-26</x:v>
      </x:c>
      <x:c r="T159" s="4" t="n">
        <x:v>157</x:v>
      </x:c>
      <x:c r="U159" s="4" t="str">
        <x:v>https://github.com/chaitin/PandaWiki</x:v>
      </x:c>
      <x:c r="V159" s="4" t="str">
        <x:v>chaitin/pandawiki</x:v>
      </x:c>
    </x:row>
    <x:row r="160" ht="44" customHeight="1">
      <x:c r="A160" s="4" t="n">
        <x:v>155</x:v>
      </x:c>
      <x:c r="B160" s="4" t="str">
        <x:v>chaitin/SafeLine</x:v>
      </x:c>
      <x:c r="C160" s="4" t="n">
        <x:v>4</x:v>
      </x:c>
      <x:c r="D160" s="4" t="str">
        <x:v>安全与身份认证</x:v>
      </x:c>
      <x:c r="E160" s="4" t="str">
        <x:v>本地证据分类</x:v>
      </x:c>
      <x:c r="F160" s="4" t="n">
        <x:v>1</x:v>
      </x:c>
      <x:c r="G160" s="4" t="str">
        <x:v>软件项目</x:v>
      </x:c>
      <x:c r="H160" s="4" t="str">
        <x:v>安全审计</x:v>
      </x:c>
      <x:c r="I160" s="4" t="str">
        <x:v>当前页面未列入</x:v>
      </x:c>
      <x:c r="J160" s="4" t="str">
        <x:v>未记录</x:v>
      </x:c>
      <x:c r="K160" s="4" t="str">
        <x:v>未获取</x:v>
      </x:c>
      <x:c r="L160" s="4" t="str">
        <x:v>未记录</x:v>
      </x:c>
      <x:c r="M160" s="4" t="n">
        <x:v>0</x:v>
      </x:c>
      <x:c r="N160" s="4"/>
      <x:c r="O160" s="4"/>
      <x:c r="P160" s="9"/>
      <x:c r="Q160" s="4"/>
      <x:c r="R160" s="4" t="str">
        <x:v>项目名称/框架的明确功能定位；未逐一在线核验README</x:v>
      </x:c>
      <x:c r="S160" s="4" t="str">
        <x:v>GitHub月榜24-26</x:v>
      </x:c>
      <x:c r="T160" s="4" t="n">
        <x:v>158</x:v>
      </x:c>
      <x:c r="U160" s="4" t="str">
        <x:v>https://github.com/chaitin/SafeLine</x:v>
      </x:c>
      <x:c r="V160" s="4" t="str">
        <x:v>chaitin/safeline</x:v>
      </x:c>
    </x:row>
    <x:row r="161" ht="44" customHeight="1">
      <x:c r="A161" s="4" t="n">
        <x:v>156</x:v>
      </x:c>
      <x:c r="B161" s="4" t="str">
        <x:v>charlax/professional-programming</x:v>
      </x:c>
      <x:c r="C161" s="4"/>
      <x:c r="D161" s="4" t="str">
        <x:v>未归入15类</x:v>
      </x:c>
      <x:c r="E161" s="4" t="str">
        <x:v>范围排除</x:v>
      </x:c>
      <x:c r="F161" s="4" t="n">
        <x:v>0</x:v>
      </x:c>
      <x:c r="G161" s="4" t="str">
        <x:v>教程/资源/技能资产</x:v>
      </x:c>
      <x:c r="H161" s="4" t="str">
        <x:v>知识/数据资产</x:v>
      </x:c>
      <x:c r="I161" s="4" t="str">
        <x:v>当前页面未列入</x:v>
      </x:c>
      <x:c r="J161" s="4" t="str">
        <x:v>未记录</x:v>
      </x:c>
      <x:c r="K161" s="4" t="str">
        <x:v>未获取</x:v>
      </x:c>
      <x:c r="L161" s="4" t="str">
        <x:v>未记录</x:v>
      </x:c>
      <x:c r="M161" s="4" t="n">
        <x:v>0</x:v>
      </x:c>
      <x:c r="N161" s="4"/>
      <x:c r="O161" s="4"/>
      <x:c r="P161" s="9"/>
      <x:c r="Q161" s="4"/>
      <x:c r="R161" s="4" t="str">
        <x:v>按项目名称与已获取定位识别为知识、数据或技能资源；非独立软件能力证据</x:v>
      </x:c>
      <x:c r="S161" s="4" t="str">
        <x:v>GitHub月榜24-26</x:v>
      </x:c>
      <x:c r="T161" s="4" t="n">
        <x:v>159</x:v>
      </x:c>
      <x:c r="U161" s="4" t="str">
        <x:v>https://github.com/charlax/professional-programming</x:v>
      </x:c>
      <x:c r="V161" s="4" t="str">
        <x:v>charlax/professional-programming</x:v>
      </x:c>
    </x:row>
    <x:row r="162" ht="44" customHeight="1">
      <x:c r="A162" s="4" t="n">
        <x:v>157</x:v>
      </x:c>
      <x:c r="B162" s="4" t="str">
        <x:v>charmbracelet/crush</x:v>
      </x:c>
      <x:c r="C162" s="4" t="n">
        <x:v>14</x:v>
      </x:c>
      <x:c r="D162" s="4" t="str">
        <x:v>软件构建、开发与测试</x:v>
      </x:c>
      <x:c r="E162" s="4" t="str">
        <x:v>本地证据分类</x:v>
      </x:c>
      <x:c r="F162" s="4" t="n">
        <x:v>1</x:v>
      </x:c>
      <x:c r="G162" s="4" t="str">
        <x:v>软件项目</x:v>
      </x:c>
      <x:c r="H162" s="4" t="str">
        <x:v>软件工程；编程Agent需额外挂13标签</x:v>
      </x:c>
      <x:c r="I162" s="4" t="str">
        <x:v>开发工具与工程效率</x:v>
      </x:c>
      <x:c r="J162" s="4" t="str">
        <x:v>Go</x:v>
      </x:c>
      <x:c r="K162" s="4" t="str">
        <x:v>未获取</x:v>
      </x:c>
      <x:c r="L162" s="4" t="str">
        <x:v>未记录</x:v>
      </x:c>
      <x:c r="M162" s="4" t="n">
        <x:v>208</x:v>
      </x:c>
      <x:c r="N162" s="4" t="n">
        <x:v>208</x:v>
      </x:c>
      <x:c r="O162" s="4" t="n">
        <x:v>0</x:v>
      </x:c>
      <x:c r="P162" s="9" t="n">
        <x:v>0</x:v>
      </x:c>
      <x:c r="Q162" s="4"/>
      <x:c r="R162" s="4" t="str">
        <x:v>项目名称/框架的明确功能定位；未逐一在线核验README</x:v>
      </x:c>
      <x:c r="S162" s="4" t="str">
        <x:v>GitHub月榜24-26</x:v>
      </x:c>
      <x:c r="T162" s="4" t="n">
        <x:v>160</x:v>
      </x:c>
      <x:c r="U162" s="4" t="str">
        <x:v>https://github.com/charmbracelet/crush</x:v>
      </x:c>
      <x:c r="V162" s="4" t="str">
        <x:v>charmbracelet/crush</x:v>
      </x:c>
    </x:row>
    <x:row r="163" ht="44" customHeight="1">
      <x:c r="A163" s="4" t="n">
        <x:v>158</x:v>
      </x:c>
      <x:c r="B163" s="4" t="str">
        <x:v>chartdb/chartdb</x:v>
      </x:c>
      <x:c r="C163" s="4" t="n">
        <x:v>5</x:v>
      </x:c>
      <x:c r="D163" s="4" t="str">
        <x:v>数据库、存储与检索</x:v>
      </x:c>
      <x:c r="E163" s="4" t="str">
        <x:v>本地证据分类</x:v>
      </x:c>
      <x:c r="F163" s="4" t="n">
        <x:v>1</x:v>
      </x:c>
      <x:c r="G163" s="4" t="str">
        <x:v>软件项目</x:v>
      </x:c>
      <x:c r="H163" s="4" t="str">
        <x:v>数据服务</x:v>
      </x:c>
      <x:c r="I163" s="4" t="str">
        <x:v>Web 与业务服务</x:v>
      </x:c>
      <x:c r="J163" s="4" t="str">
        <x:v>JavaScript/TypeScript</x:v>
      </x:c>
      <x:c r="K163" s="4" t="str">
        <x:v>未获取</x:v>
      </x:c>
      <x:c r="L163" s="4" t="str">
        <x:v>未记录</x:v>
      </x:c>
      <x:c r="M163" s="4" t="n">
        <x:v>39</x:v>
      </x:c>
      <x:c r="N163" s="4" t="n">
        <x:v>39</x:v>
      </x:c>
      <x:c r="O163" s="4" t="n">
        <x:v>36</x:v>
      </x:c>
      <x:c r="P163" s="9" t="n">
        <x:v>0.9230769230769231</x:v>
      </x:c>
      <x:c r="Q163" s="4"/>
      <x:c r="R163" s="4" t="str">
        <x:v>项目名称/框架的明确功能定位；未逐一在线核验README</x:v>
      </x:c>
      <x:c r="S163" s="4" t="str">
        <x:v>GitHub月榜24-26</x:v>
      </x:c>
      <x:c r="T163" s="4" t="n">
        <x:v>161</x:v>
      </x:c>
      <x:c r="U163" s="4" t="str">
        <x:v>https://github.com/chartdb/chartdb</x:v>
      </x:c>
      <x:c r="V163" s="4" t="str">
        <x:v>chartdb/chartdb</x:v>
      </x:c>
    </x:row>
    <x:row r="164" ht="44" customHeight="1">
      <x:c r="A164" s="4" t="n">
        <x:v>159</x:v>
      </x:c>
      <x:c r="B164" s="4" t="str">
        <x:v>chat2db/Chat2DB</x:v>
      </x:c>
      <x:c r="C164" s="4" t="n">
        <x:v>5</x:v>
      </x:c>
      <x:c r="D164" s="4" t="str">
        <x:v>数据库、存储与检索</x:v>
      </x:c>
      <x:c r="E164" s="4" t="str">
        <x:v>本地证据分类</x:v>
      </x:c>
      <x:c r="F164" s="4" t="n">
        <x:v>1</x:v>
      </x:c>
      <x:c r="G164" s="4" t="str">
        <x:v>软件项目</x:v>
      </x:c>
      <x:c r="H164" s="4" t="str">
        <x:v>数据服务</x:v>
      </x:c>
      <x:c r="I164" s="4" t="str">
        <x:v>当前页面未列入</x:v>
      </x:c>
      <x:c r="J164" s="4" t="str">
        <x:v>未记录</x:v>
      </x:c>
      <x:c r="K164" s="4" t="str">
        <x:v>未获取</x:v>
      </x:c>
      <x:c r="L164" s="4" t="str">
        <x:v>未记录</x:v>
      </x:c>
      <x:c r="M164" s="4" t="n">
        <x:v>0</x:v>
      </x:c>
      <x:c r="N164" s="4"/>
      <x:c r="O164" s="4"/>
      <x:c r="P164" s="9"/>
      <x:c r="Q164" s="4"/>
      <x:c r="R164" s="4" t="str">
        <x:v>项目名称/框架的明确功能定位；未逐一在线核验README</x:v>
      </x:c>
      <x:c r="S164" s="4" t="str">
        <x:v>GitHub月榜24-26</x:v>
      </x:c>
      <x:c r="T164" s="4" t="n">
        <x:v>162</x:v>
      </x:c>
      <x:c r="U164" s="4" t="str">
        <x:v>https://github.com/chat2db/Chat2DB</x:v>
      </x:c>
      <x:c r="V164" s="4" t="str">
        <x:v>chat2db/chat2db</x:v>
      </x:c>
    </x:row>
    <x:row r="165" ht="44" customHeight="1">
      <x:c r="A165" s="4" t="n">
        <x:v>160</x:v>
      </x:c>
      <x:c r="B165" s="4" t="str">
        <x:v>chatanywhere/GPT_API_free</x:v>
      </x:c>
      <x:c r="C165" s="4"/>
      <x:c r="D165" s="4" t="str">
        <x:v>未归入15类</x:v>
      </x:c>
      <x:c r="E165" s="4" t="str">
        <x:v>范围排除</x:v>
      </x:c>
      <x:c r="F165" s="4" t="n">
        <x:v>0</x:v>
      </x:c>
      <x:c r="G165" s="4" t="str">
        <x:v>教程/资源/技能资产</x:v>
      </x:c>
      <x:c r="H165" s="4" t="str">
        <x:v>知识/数据资产</x:v>
      </x:c>
      <x:c r="I165" s="4" t="str">
        <x:v>当前页面未列入</x:v>
      </x:c>
      <x:c r="J165" s="4" t="str">
        <x:v>未记录</x:v>
      </x:c>
      <x:c r="K165" s="4" t="str">
        <x:v>未获取</x:v>
      </x:c>
      <x:c r="L165" s="4" t="str">
        <x:v>未记录</x:v>
      </x:c>
      <x:c r="M165" s="4" t="n">
        <x:v>0</x:v>
      </x:c>
      <x:c r="N165" s="4"/>
      <x:c r="O165" s="4"/>
      <x:c r="P165" s="9"/>
      <x:c r="Q165" s="4"/>
      <x:c r="R165" s="4" t="str">
        <x:v>按项目名称与已获取定位识别为知识、数据或技能资源；非独立软件能力证据</x:v>
      </x:c>
      <x:c r="S165" s="4" t="str">
        <x:v>GitHub月榜24-26</x:v>
      </x:c>
      <x:c r="T165" s="4" t="n">
        <x:v>163</x:v>
      </x:c>
      <x:c r="U165" s="4" t="str">
        <x:v>https://github.com/chatanywhere/GPT_API_free</x:v>
      </x:c>
      <x:c r="V165" s="4" t="str">
        <x:v>chatanywhere/gpt_api_free</x:v>
      </x:c>
    </x:row>
    <x:row r="166" ht="44" customHeight="1">
      <x:c r="A166" s="4" t="n">
        <x:v>161</x:v>
      </x:c>
      <x:c r="B166" s="4" t="str">
        <x:v>cheahjs/free-llm-api-resources</x:v>
      </x:c>
      <x:c r="C166" s="4"/>
      <x:c r="D166" s="4" t="str">
        <x:v>未归入15类</x:v>
      </x:c>
      <x:c r="E166" s="4" t="str">
        <x:v>范围排除</x:v>
      </x:c>
      <x:c r="F166" s="4" t="n">
        <x:v>0</x:v>
      </x:c>
      <x:c r="G166" s="4" t="str">
        <x:v>教程/资源/技能资产</x:v>
      </x:c>
      <x:c r="H166" s="4" t="str">
        <x:v>知识/数据资产</x:v>
      </x:c>
      <x:c r="I166" s="4" t="str">
        <x:v>当前页面未列入</x:v>
      </x:c>
      <x:c r="J166" s="4" t="str">
        <x:v>未记录</x:v>
      </x:c>
      <x:c r="K166" s="4" t="str">
        <x:v>未获取</x:v>
      </x:c>
      <x:c r="L166" s="4" t="str">
        <x:v>未记录</x:v>
      </x:c>
      <x:c r="M166" s="4" t="n">
        <x:v>0</x:v>
      </x:c>
      <x:c r="N166" s="4"/>
      <x:c r="O166" s="4"/>
      <x:c r="P166" s="9"/>
      <x:c r="Q166" s="4"/>
      <x:c r="R166" s="4" t="str">
        <x:v>按项目名称与已获取定位识别为知识、数据或技能资源；非独立软件能力证据</x:v>
      </x:c>
      <x:c r="S166" s="4" t="str">
        <x:v>GitHub月榜24-26</x:v>
      </x:c>
      <x:c r="T166" s="4" t="n">
        <x:v>164</x:v>
      </x:c>
      <x:c r="U166" s="4" t="str">
        <x:v>https://github.com/cheahjs/free-llm-api-resources</x:v>
      </x:c>
      <x:c r="V166" s="4" t="str">
        <x:v>cheahjs/free-llm-api-resources</x:v>
      </x:c>
    </x:row>
    <x:row r="167" ht="44" customHeight="1">
      <x:c r="A167" s="4" t="n">
        <x:v>162</x:v>
      </x:c>
      <x:c r="B167" s="4" t="str">
        <x:v>chopratejas/headroom</x:v>
      </x:c>
      <x:c r="C167" s="4" t="n">
        <x:v>13</x:v>
      </x:c>
      <x:c r="D167" s="4" t="str">
        <x:v>Agent编排与工具执行</x:v>
      </x:c>
      <x:c r="E167" s="4" t="str">
        <x:v>本地证据分类</x:v>
      </x:c>
      <x:c r="F167" s="4" t="n">
        <x:v>1</x:v>
      </x:c>
      <x:c r="G167" s="4" t="str">
        <x:v>软件项目</x:v>
      </x:c>
      <x:c r="H167" s="4" t="str">
        <x:v>Agent/模型与工具</x:v>
      </x:c>
      <x:c r="I167" s="4" t="str">
        <x:v>桌面、TUI 与跨端应用</x:v>
      </x:c>
      <x:c r="J167" s="4" t="str">
        <x:v>Python</x:v>
      </x:c>
      <x:c r="K167" s="4" t="str">
        <x:v>未获取</x:v>
      </x:c>
      <x:c r="L167" s="4" t="str">
        <x:v>未记录</x:v>
      </x:c>
      <x:c r="M167" s="4" t="n">
        <x:v>10</x:v>
      </x:c>
      <x:c r="N167" s="4" t="n">
        <x:v>10</x:v>
      </x:c>
      <x:c r="O167" s="4" t="n">
        <x:v>10</x:v>
      </x:c>
      <x:c r="P167" s="9" t="n">
        <x:v>1</x:v>
      </x:c>
      <x:c r="Q167" s="4"/>
      <x:c r="R167" s="4" t="str">
        <x:v>项目名称/框架的明确功能定位；未逐一在线核验README</x:v>
      </x:c>
      <x:c r="S167" s="4" t="str">
        <x:v>GitHub月榜24-26</x:v>
      </x:c>
      <x:c r="T167" s="4" t="n">
        <x:v>165</x:v>
      </x:c>
      <x:c r="U167" s="4" t="str">
        <x:v>https://github.com/chopratejas/headroom</x:v>
      </x:c>
      <x:c r="V167" s="4" t="str">
        <x:v>chopratejas/headroom</x:v>
      </x:c>
    </x:row>
    <x:row r="168" ht="44" customHeight="1">
      <x:c r="A168" s="4" t="n">
        <x:v>163</x:v>
      </x:c>
      <x:c r="B168" s="4" t="str">
        <x:v>citrolabs/ego-lite</x:v>
      </x:c>
      <x:c r="C168" s="4"/>
      <x:c r="D168" s="4" t="str">
        <x:v>未归入15类</x:v>
      </x:c>
      <x:c r="E168" s="4" t="str">
        <x:v>信息不足</x:v>
      </x:c>
      <x:c r="F168" s="4" t="n">
        <x:v>1</x:v>
      </x:c>
      <x:c r="G168" s="4" t="str">
        <x:v>待确认项目</x:v>
      </x:c>
      <x:c r="H168" s="4" t="str"/>
      <x:c r="I168" s="4" t="str">
        <x:v>当前页面未列入</x:v>
      </x:c>
      <x:c r="J168" s="4" t="str">
        <x:v>未记录</x:v>
      </x:c>
      <x:c r="K168" s="4" t="str">
        <x:v>未获取</x:v>
      </x:c>
      <x:c r="L168" s="4" t="str">
        <x:v>未记录</x:v>
      </x:c>
      <x:c r="M168" s="4" t="n">
        <x:v>0</x:v>
      </x:c>
      <x:c r="N168" s="4"/>
      <x:c r="O168" s="4"/>
      <x:c r="P168" s="9"/>
      <x:c r="Q168" s="4"/>
      <x:c r="R168" s="4" t="str">
        <x:v>缺少明确功能描述，不按依赖或语言强行归类</x:v>
      </x:c>
      <x:c r="S168" s="4" t="str">
        <x:v>GitHub月榜24-26</x:v>
      </x:c>
      <x:c r="T168" s="4" t="n">
        <x:v>166</x:v>
      </x:c>
      <x:c r="U168" s="4" t="str">
        <x:v>https://github.com/citrolabs/ego-lite</x:v>
      </x:c>
      <x:c r="V168" s="4" t="str">
        <x:v>citrolabs/ego-lite</x:v>
      </x:c>
    </x:row>
    <x:row r="169" ht="44" customHeight="1">
      <x:c r="A169" s="4" t="n">
        <x:v>164</x:v>
      </x:c>
      <x:c r="B169" s="4" t="str">
        <x:v>cjpais/Handy</x:v>
      </x:c>
      <x:c r="C169" s="4" t="n">
        <x:v>11</x:v>
      </x:c>
      <x:c r="D169" s="4" t="str">
        <x:v>AI模型与机器学习</x:v>
      </x:c>
      <x:c r="E169" s="4" t="str">
        <x:v>本地证据分类</x:v>
      </x:c>
      <x:c r="F169" s="4" t="n">
        <x:v>1</x:v>
      </x:c>
      <x:c r="G169" s="4" t="str">
        <x:v>软件项目</x:v>
      </x:c>
      <x:c r="H169" s="4" t="str">
        <x:v>AI模型/推理</x:v>
      </x:c>
      <x:c r="I169" s="4" t="str">
        <x:v>Web 与业务服务</x:v>
      </x:c>
      <x:c r="J169" s="4" t="str">
        <x:v>JavaScript/TypeScript</x:v>
      </x:c>
      <x:c r="K169" s="4" t="str">
        <x:v>未获取</x:v>
      </x:c>
      <x:c r="L169" s="4" t="str">
        <x:v>未记录</x:v>
      </x:c>
      <x:c r="M169" s="4" t="n">
        <x:v>25</x:v>
      </x:c>
      <x:c r="N169" s="4" t="n">
        <x:v>25</x:v>
      </x:c>
      <x:c r="O169" s="4" t="n">
        <x:v>19</x:v>
      </x:c>
      <x:c r="P169" s="9" t="n">
        <x:v>0.76</x:v>
      </x:c>
      <x:c r="Q169" s="4"/>
      <x:c r="R169" s="4" t="str">
        <x:v>项目名称/框架的明确功能定位；未逐一在线核验README</x:v>
      </x:c>
      <x:c r="S169" s="4" t="str">
        <x:v>GitHub月榜24-26</x:v>
      </x:c>
      <x:c r="T169" s="4" t="n">
        <x:v>167</x:v>
      </x:c>
      <x:c r="U169" s="4" t="str">
        <x:v>https://github.com/cjpais/Handy</x:v>
      </x:c>
      <x:c r="V169" s="4" t="str">
        <x:v>cjpais/handy</x:v>
      </x:c>
    </x:row>
    <x:row r="170" ht="44" customHeight="1">
      <x:c r="A170" s="4" t="n">
        <x:v>165</x:v>
      </x:c>
      <x:c r="B170" s="4" t="str">
        <x:v>cline/cline</x:v>
      </x:c>
      <x:c r="C170" s="4" t="n">
        <x:v>14</x:v>
      </x:c>
      <x:c r="D170" s="4" t="str">
        <x:v>软件构建、开发与测试</x:v>
      </x:c>
      <x:c r="E170" s="4" t="str">
        <x:v>本地证据分类</x:v>
      </x:c>
      <x:c r="F170" s="4" t="n">
        <x:v>1</x:v>
      </x:c>
      <x:c r="G170" s="4" t="str">
        <x:v>软件项目</x:v>
      </x:c>
      <x:c r="H170" s="4" t="str">
        <x:v>软件工程；编程Agent需额外挂13标签</x:v>
      </x:c>
      <x:c r="I170" s="4" t="str">
        <x:v>行业与其他应用</x:v>
      </x:c>
      <x:c r="J170" s="4" t="str">
        <x:v>JavaScript/TypeScript</x:v>
      </x:c>
      <x:c r="K170" s="4" t="str">
        <x:v>未获取</x:v>
      </x:c>
      <x:c r="L170" s="4" t="str">
        <x:v>未记录</x:v>
      </x:c>
      <x:c r="M170" s="4" t="n">
        <x:v>1</x:v>
      </x:c>
      <x:c r="N170" s="4" t="n">
        <x:v>1</x:v>
      </x:c>
      <x:c r="O170" s="4" t="n">
        <x:v>1</x:v>
      </x:c>
      <x:c r="P170" s="9" t="n">
        <x:v>1</x:v>
      </x:c>
      <x:c r="Q170" s="4"/>
      <x:c r="R170" s="4" t="str">
        <x:v>项目名称/框架的明确功能定位；未逐一在线核验README</x:v>
      </x:c>
      <x:c r="S170" s="4" t="str">
        <x:v>GitHub月榜24-26</x:v>
      </x:c>
      <x:c r="T170" s="4" t="n">
        <x:v>168</x:v>
      </x:c>
      <x:c r="U170" s="4" t="str">
        <x:v>https://github.com/cline/cline</x:v>
      </x:c>
      <x:c r="V170" s="4" t="str">
        <x:v>cline/cline</x:v>
      </x:c>
    </x:row>
    <x:row r="171" ht="44" customHeight="1">
      <x:c r="A171" s="4" t="n">
        <x:v>166</x:v>
      </x:c>
      <x:c r="B171" s="4" t="str">
        <x:v>cloudcommunity/Free-Certifications</x:v>
      </x:c>
      <x:c r="C171" s="4"/>
      <x:c r="D171" s="4" t="str">
        <x:v>未归入15类</x:v>
      </x:c>
      <x:c r="E171" s="4" t="str">
        <x:v>范围排除</x:v>
      </x:c>
      <x:c r="F171" s="4" t="n">
        <x:v>0</x:v>
      </x:c>
      <x:c r="G171" s="4" t="str">
        <x:v>教程/资源/技能资产</x:v>
      </x:c>
      <x:c r="H171" s="4" t="str">
        <x:v>知识/数据资产</x:v>
      </x:c>
      <x:c r="I171" s="4" t="str">
        <x:v>当前页面未列入</x:v>
      </x:c>
      <x:c r="J171" s="4" t="str">
        <x:v>未记录</x:v>
      </x:c>
      <x:c r="K171" s="4" t="str">
        <x:v>未获取</x:v>
      </x:c>
      <x:c r="L171" s="4" t="str">
        <x:v>未记录</x:v>
      </x:c>
      <x:c r="M171" s="4" t="n">
        <x:v>0</x:v>
      </x:c>
      <x:c r="N171" s="4"/>
      <x:c r="O171" s="4"/>
      <x:c r="P171" s="9"/>
      <x:c r="Q171" s="4"/>
      <x:c r="R171" s="4" t="str">
        <x:v>按项目名称与已获取定位识别为知识、数据或技能资源；非独立软件能力证据</x:v>
      </x:c>
      <x:c r="S171" s="4" t="str">
        <x:v>GitHub月榜24-26</x:v>
      </x:c>
      <x:c r="T171" s="4" t="n">
        <x:v>169</x:v>
      </x:c>
      <x:c r="U171" s="4" t="str">
        <x:v>https://github.com/cloudcommunity/Free-Certifications</x:v>
      </x:c>
      <x:c r="V171" s="4" t="str">
        <x:v>cloudcommunity/free-certifications</x:v>
      </x:c>
    </x:row>
    <x:row r="172" ht="44" customHeight="1">
      <x:c r="A172" s="4" t="n">
        <x:v>167</x:v>
      </x:c>
      <x:c r="B172" s="4" t="str">
        <x:v>cocos/cocos-engine</x:v>
      </x:c>
      <x:c r="C172" s="4" t="n">
        <x:v>9</x:v>
      </x:c>
      <x:c r="D172" s="4" t="str">
        <x:v>图形、多媒体与实时应用</x:v>
      </x:c>
      <x:c r="E172" s="4" t="str">
        <x:v>本地证据分类</x:v>
      </x:c>
      <x:c r="F172" s="4" t="n">
        <x:v>1</x:v>
      </x:c>
      <x:c r="G172" s="4" t="str">
        <x:v>软件项目</x:v>
      </x:c>
      <x:c r="H172" s="4" t="str">
        <x:v>媒体/图形</x:v>
      </x:c>
      <x:c r="I172" s="4" t="str">
        <x:v>浏览器自动化与数据采集</x:v>
      </x:c>
      <x:c r="J172" s="4" t="str">
        <x:v>JavaScript/TypeScript</x:v>
      </x:c>
      <x:c r="K172" s="4" t="str">
        <x:v>未获取</x:v>
      </x:c>
      <x:c r="L172" s="4" t="str">
        <x:v>未记录</x:v>
      </x:c>
      <x:c r="M172" s="4" t="n">
        <x:v>31</x:v>
      </x:c>
      <x:c r="N172" s="4" t="n">
        <x:v>31</x:v>
      </x:c>
      <x:c r="O172" s="4" t="n">
        <x:v>26</x:v>
      </x:c>
      <x:c r="P172" s="9" t="n">
        <x:v>0.8387096774193549</x:v>
      </x:c>
      <x:c r="Q172" s="4"/>
      <x:c r="R172" s="4" t="str">
        <x:v>项目名称/框架的明确功能定位；未逐一在线核验README</x:v>
      </x:c>
      <x:c r="S172" s="4" t="str">
        <x:v>GitHub月榜24-26</x:v>
      </x:c>
      <x:c r="T172" s="4" t="n">
        <x:v>170</x:v>
      </x:c>
      <x:c r="U172" s="4" t="str">
        <x:v>https://github.com/cocos/cocos-engine</x:v>
      </x:c>
      <x:c r="V172" s="4" t="str">
        <x:v>cocos/cocos-engine</x:v>
      </x:c>
    </x:row>
    <x:row r="173" ht="44" customHeight="1">
      <x:c r="A173" s="4" t="n">
        <x:v>168</x:v>
      </x:c>
      <x:c r="B173" s="4" t="str">
        <x:v>code-yeongyu/oh-my-opencode</x:v>
      </x:c>
      <x:c r="C173" s="4" t="n">
        <x:v>14</x:v>
      </x:c>
      <x:c r="D173" s="4" t="str">
        <x:v>软件构建、开发与测试</x:v>
      </x:c>
      <x:c r="E173" s="4" t="str">
        <x:v>本地证据分类</x:v>
      </x:c>
      <x:c r="F173" s="4" t="n">
        <x:v>1</x:v>
      </x:c>
      <x:c r="G173" s="4" t="str">
        <x:v>软件项目</x:v>
      </x:c>
      <x:c r="H173" s="4" t="str">
        <x:v>软件工程；编程Agent需额外挂13标签</x:v>
      </x:c>
      <x:c r="I173" s="4" t="str">
        <x:v>Agent 与 AI 应用</x:v>
      </x:c>
      <x:c r="J173" s="4" t="str">
        <x:v>JavaScript/TypeScript</x:v>
      </x:c>
      <x:c r="K173" s="4" t="str">
        <x:v>未获取</x:v>
      </x:c>
      <x:c r="L173" s="4" t="str">
        <x:v>未记录</x:v>
      </x:c>
      <x:c r="M173" s="4" t="n">
        <x:v>49</x:v>
      </x:c>
      <x:c r="N173" s="4" t="n">
        <x:v>49</x:v>
      </x:c>
      <x:c r="O173" s="4" t="n">
        <x:v>15</x:v>
      </x:c>
      <x:c r="P173" s="9" t="n">
        <x:v>0.30612244897959184</x:v>
      </x:c>
      <x:c r="Q173" s="4"/>
      <x:c r="R173" s="4" t="str">
        <x:v>项目名称/框架的明确功能定位；未逐一在线核验README</x:v>
      </x:c>
      <x:c r="S173" s="4" t="str">
        <x:v>GitHub月榜24-26</x:v>
      </x:c>
      <x:c r="T173" s="4" t="n">
        <x:v>171</x:v>
      </x:c>
      <x:c r="U173" s="4" t="str">
        <x:v>https://github.com/code-yeongyu/oh-my-opencode</x:v>
      </x:c>
      <x:c r="V173" s="4" t="str">
        <x:v>code-yeongyu/oh-my-opencode</x:v>
      </x:c>
    </x:row>
    <x:row r="174" ht="44" customHeight="1">
      <x:c r="A174" s="4" t="n">
        <x:v>169</x:v>
      </x:c>
      <x:c r="B174" s="4" t="str">
        <x:v>codecrafters-io/build-your-own-x</x:v>
      </x:c>
      <x:c r="C174" s="4"/>
      <x:c r="D174" s="4" t="str">
        <x:v>未归入15类</x:v>
      </x:c>
      <x:c r="E174" s="4" t="str">
        <x:v>范围排除</x:v>
      </x:c>
      <x:c r="F174" s="4" t="n">
        <x:v>0</x:v>
      </x:c>
      <x:c r="G174" s="4" t="str">
        <x:v>教程/资源/技能资产</x:v>
      </x:c>
      <x:c r="H174" s="4" t="str">
        <x:v>知识/数据资产</x:v>
      </x:c>
      <x:c r="I174" s="4" t="str">
        <x:v>当前页面未列入</x:v>
      </x:c>
      <x:c r="J174" s="4" t="str">
        <x:v>未记录</x:v>
      </x:c>
      <x:c r="K174" s="4" t="str">
        <x:v>Markdown</x:v>
      </x:c>
      <x:c r="L174" s="4" t="str">
        <x:v>未记录</x:v>
      </x:c>
      <x:c r="M174" s="4" t="n">
        <x:v>0</x:v>
      </x:c>
      <x:c r="N174" s="4"/>
      <x:c r="O174" s="4"/>
      <x:c r="P174" s="9"/>
      <x:c r="Q174" s="4"/>
      <x:c r="R174" s="4" t="str">
        <x:v>按项目名称与已获取定位识别为知识、数据或技能资源；非独立软件能力证据</x:v>
      </x:c>
      <x:c r="S174" s="4" t="str">
        <x:v>GitHub月榜24-26</x:v>
      </x:c>
      <x:c r="T174" s="4" t="n">
        <x:v>172</x:v>
      </x:c>
      <x:c r="U174" s="4" t="str">
        <x:v>https://github.com/codecrafters-io/build-your-own-x</x:v>
      </x:c>
      <x:c r="V174" s="4" t="str">
        <x:v>codecrafters-io/build-your-own-x</x:v>
      </x:c>
    </x:row>
    <x:row r="175" ht="44" customHeight="1">
      <x:c r="A175" s="4" t="n">
        <x:v>170</x:v>
      </x:c>
      <x:c r="B175" s="4" t="str">
        <x:v>codexu/note-gen</x:v>
      </x:c>
      <x:c r="C175" s="4" t="n">
        <x:v>10</x:v>
      </x:c>
      <x:c r="D175" s="4" t="str">
        <x:v>文档与办公数据处理</x:v>
      </x:c>
      <x:c r="E175" s="4" t="str">
        <x:v>本地证据分类</x:v>
      </x:c>
      <x:c r="F175" s="4" t="n">
        <x:v>1</x:v>
      </x:c>
      <x:c r="G175" s="4" t="str">
        <x:v>软件项目</x:v>
      </x:c>
      <x:c r="H175" s="4" t="str">
        <x:v>文档/知识内容</x:v>
      </x:c>
      <x:c r="I175" s="4" t="str">
        <x:v>办公文档与知识管理</x:v>
      </x:c>
      <x:c r="J175" s="4" t="str">
        <x:v>JavaScript/TypeScript</x:v>
      </x:c>
      <x:c r="K175" s="4" t="str">
        <x:v>未获取</x:v>
      </x:c>
      <x:c r="L175" s="4" t="str">
        <x:v>未记录</x:v>
      </x:c>
      <x:c r="M175" s="4" t="n">
        <x:v>90</x:v>
      </x:c>
      <x:c r="N175" s="4" t="n">
        <x:v>90</x:v>
      </x:c>
      <x:c r="O175" s="4" t="n">
        <x:v>70</x:v>
      </x:c>
      <x:c r="P175" s="9" t="n">
        <x:v>0.7777777777777778</x:v>
      </x:c>
      <x:c r="Q175" s="4"/>
      <x:c r="R175" s="4" t="str">
        <x:v>项目名称/框架的明确功能定位；未逐一在线核验README</x:v>
      </x:c>
      <x:c r="S175" s="4" t="str">
        <x:v>GitHub月榜24-26</x:v>
      </x:c>
      <x:c r="T175" s="4" t="n">
        <x:v>173</x:v>
      </x:c>
      <x:c r="U175" s="4" t="str">
        <x:v>https://github.com/codexu/note-gen</x:v>
      </x:c>
      <x:c r="V175" s="4" t="str">
        <x:v>codexu/note-gen</x:v>
      </x:c>
    </x:row>
    <x:row r="176" ht="44" customHeight="1">
      <x:c r="A176" s="4" t="n">
        <x:v>171</x:v>
      </x:c>
      <x:c r="B176" s="4" t="str">
        <x:v>colbymchenry/codegraph</x:v>
      </x:c>
      <x:c r="C176" s="4" t="n">
        <x:v>14</x:v>
      </x:c>
      <x:c r="D176" s="4" t="str">
        <x:v>软件构建、开发与测试</x:v>
      </x:c>
      <x:c r="E176" s="4" t="str">
        <x:v>本地证据分类</x:v>
      </x:c>
      <x:c r="F176" s="4" t="n">
        <x:v>1</x:v>
      </x:c>
      <x:c r="G176" s="4" t="str">
        <x:v>软件项目</x:v>
      </x:c>
      <x:c r="H176" s="4" t="str">
        <x:v>软件工程；编程Agent需额外挂13标签</x:v>
      </x:c>
      <x:c r="I176" s="4" t="str">
        <x:v>Web 与业务服务</x:v>
      </x:c>
      <x:c r="J176" s="4" t="str">
        <x:v>JavaScript/TypeScript</x:v>
      </x:c>
      <x:c r="K176" s="4" t="str">
        <x:v>未获取</x:v>
      </x:c>
      <x:c r="L176" s="4" t="str">
        <x:v>未记录</x:v>
      </x:c>
      <x:c r="M176" s="4" t="n">
        <x:v>11</x:v>
      </x:c>
      <x:c r="N176" s="4" t="n">
        <x:v>11</x:v>
      </x:c>
      <x:c r="O176" s="4" t="n">
        <x:v>9</x:v>
      </x:c>
      <x:c r="P176" s="9" t="n">
        <x:v>0.8181818181818182</x:v>
      </x:c>
      <x:c r="Q176" s="4"/>
      <x:c r="R176" s="4" t="str">
        <x:v>项目名称/框架的明确功能定位；未逐一在线核验README</x:v>
      </x:c>
      <x:c r="S176" s="4" t="str">
        <x:v>GitHub月榜24-26</x:v>
      </x:c>
      <x:c r="T176" s="4" t="n">
        <x:v>174</x:v>
      </x:c>
      <x:c r="U176" s="4" t="str">
        <x:v>https://github.com/colbymchenry/codegraph</x:v>
      </x:c>
      <x:c r="V176" s="4" t="str">
        <x:v>colbymchenry/codegraph</x:v>
      </x:c>
    </x:row>
    <x:row r="177" ht="44" customHeight="1">
      <x:c r="A177" s="4" t="n">
        <x:v>172</x:v>
      </x:c>
      <x:c r="B177" s="4" t="str">
        <x:v>coleam00/Archon</x:v>
      </x:c>
      <x:c r="C177" s="4" t="n">
        <x:v>13</x:v>
      </x:c>
      <x:c r="D177" s="4" t="str">
        <x:v>Agent编排与工具执行</x:v>
      </x:c>
      <x:c r="E177" s="4" t="str">
        <x:v>本地证据分类</x:v>
      </x:c>
      <x:c r="F177" s="4" t="n">
        <x:v>1</x:v>
      </x:c>
      <x:c r="G177" s="4" t="str">
        <x:v>软件项目</x:v>
      </x:c>
      <x:c r="H177" s="4" t="str">
        <x:v>Agent编排/工具服务</x:v>
      </x:c>
      <x:c r="I177" s="4" t="str">
        <x:v>Agent 与 AI 应用</x:v>
      </x:c>
      <x:c r="J177" s="4" t="str">
        <x:v>JavaScript/TypeScript</x:v>
      </x:c>
      <x:c r="K177" s="4" t="str">
        <x:v>未获取</x:v>
      </x:c>
      <x:c r="L177" s="4" t="str">
        <x:v>未记录</x:v>
      </x:c>
      <x:c r="M177" s="4" t="n">
        <x:v>9</x:v>
      </x:c>
      <x:c r="N177" s="4" t="n">
        <x:v>9</x:v>
      </x:c>
      <x:c r="O177" s="4" t="n">
        <x:v>1</x:v>
      </x:c>
      <x:c r="P177" s="9" t="n">
        <x:v>0.1111111111111111</x:v>
      </x:c>
      <x:c r="Q177" s="4"/>
      <x:c r="R177" s="4" t="str">
        <x:v>项目名称/框架的明确功能定位；未逐一在线核验README</x:v>
      </x:c>
      <x:c r="S177" s="4" t="str">
        <x:v>GitHub月榜24-26</x:v>
      </x:c>
      <x:c r="T177" s="4" t="n">
        <x:v>175</x:v>
      </x:c>
      <x:c r="U177" s="4" t="str">
        <x:v>https://github.com/coleam00/Archon</x:v>
      </x:c>
      <x:c r="V177" s="4" t="str">
        <x:v>coleam00/archon</x:v>
      </x:c>
    </x:row>
    <x:row r="178" ht="44" customHeight="1">
      <x:c r="A178" s="4" t="n">
        <x:v>173</x:v>
      </x:c>
      <x:c r="B178" s="4" t="str">
        <x:v>comfyanonymous/ComfyUI</x:v>
      </x:c>
      <x:c r="C178" s="4" t="n">
        <x:v>11</x:v>
      </x:c>
      <x:c r="D178" s="4" t="str">
        <x:v>AI模型与机器学习</x:v>
      </x:c>
      <x:c r="E178" s="4" t="str">
        <x:v>本地证据分类</x:v>
      </x:c>
      <x:c r="F178" s="4" t="n">
        <x:v>1</x:v>
      </x:c>
      <x:c r="G178" s="4" t="str">
        <x:v>软件项目</x:v>
      </x:c>
      <x:c r="H178" s="4" t="str">
        <x:v>AI模型/推理</x:v>
      </x:c>
      <x:c r="I178" s="4" t="str">
        <x:v>当前页面未列入</x:v>
      </x:c>
      <x:c r="J178" s="4" t="str">
        <x:v>未记录</x:v>
      </x:c>
      <x:c r="K178" s="4" t="str">
        <x:v>未获取</x:v>
      </x:c>
      <x:c r="L178" s="4" t="str">
        <x:v>未记录</x:v>
      </x:c>
      <x:c r="M178" s="4" t="n">
        <x:v>0</x:v>
      </x:c>
      <x:c r="N178" s="4"/>
      <x:c r="O178" s="4"/>
      <x:c r="P178" s="9"/>
      <x:c r="Q178" s="4"/>
      <x:c r="R178" s="4" t="str">
        <x:v>项目名称/框架的明确功能定位；未逐一在线核验README</x:v>
      </x:c>
      <x:c r="S178" s="4" t="str">
        <x:v>GitHub月榜24-26</x:v>
      </x:c>
      <x:c r="T178" s="4" t="n">
        <x:v>176</x:v>
      </x:c>
      <x:c r="U178" s="4" t="str">
        <x:v>https://github.com/comfyanonymous/ComfyUI</x:v>
      </x:c>
      <x:c r="V178" s="4" t="str">
        <x:v>comfyanonymous/comfyui</x:v>
      </x:c>
    </x:row>
    <x:row r="179" ht="44" customHeight="1">
      <x:c r="A179" s="4" t="n">
        <x:v>174</x:v>
      </x:c>
      <x:c r="B179" s="4" t="str">
        <x:v>coollabsio/coolify</x:v>
      </x:c>
      <x:c r="C179" s="4" t="n">
        <x:v>15</x:v>
      </x:c>
      <x:c r="D179" s="4" t="str">
        <x:v>部署运维与可观测性</x:v>
      </x:c>
      <x:c r="E179" s="4" t="str">
        <x:v>元数据已核验</x:v>
      </x:c>
      <x:c r="F179" s="4" t="n">
        <x:v>1</x:v>
      </x:c>
      <x:c r="G179" s="4" t="str">
        <x:v>软件项目</x:v>
      </x:c>
      <x:c r="H179" s="4" t="str">
        <x:v>运维/可观测性</x:v>
      </x:c>
      <x:c r="I179" s="4" t="str">
        <x:v>Web 与业务服务</x:v>
      </x:c>
      <x:c r="J179" s="4" t="str">
        <x:v>JavaScript/TypeScript</x:v>
      </x:c>
      <x:c r="K179" s="4" t="str">
        <x:v>PHP</x:v>
      </x:c>
      <x:c r="L179" s="4" t="str">
        <x:v>未记录</x:v>
      </x:c>
      <x:c r="M179" s="4" t="n">
        <x:v>5</x:v>
      </x:c>
      <x:c r="N179" s="4" t="n">
        <x:v>5</x:v>
      </x:c>
      <x:c r="O179" s="4" t="n">
        <x:v>5</x:v>
      </x:c>
      <x:c r="P179" s="9" t="n">
        <x:v>1</x:v>
      </x:c>
      <x:c r="Q179" s="4"/>
      <x:c r="R179" s="4" t="str">
        <x:v>项目定位与GitHub描述人工对照</x:v>
      </x:c>
      <x:c r="S179" s="4" t="str">
        <x:v>GitHub月榜24-26</x:v>
      </x:c>
      <x:c r="T179" s="4" t="n">
        <x:v>177</x:v>
      </x:c>
      <x:c r="U179" s="4" t="str">
        <x:v>https://github.com/coollabsio/coolify</x:v>
      </x:c>
      <x:c r="V179" s="4" t="str">
        <x:v>coollabsio/coolify</x:v>
      </x:c>
    </x:row>
    <x:row r="180" ht="44" customHeight="1">
      <x:c r="A180" s="4" t="n">
        <x:v>175</x:v>
      </x:c>
      <x:c r="B180" s="4" t="str">
        <x:v>cpacker/MemGPT</x:v>
      </x:c>
      <x:c r="C180" s="4" t="n">
        <x:v>13</x:v>
      </x:c>
      <x:c r="D180" s="4" t="str">
        <x:v>Agent编排与工具执行</x:v>
      </x:c>
      <x:c r="E180" s="4" t="str">
        <x:v>本地证据分类</x:v>
      </x:c>
      <x:c r="F180" s="4" t="n">
        <x:v>1</x:v>
      </x:c>
      <x:c r="G180" s="4" t="str">
        <x:v>软件项目</x:v>
      </x:c>
      <x:c r="H180" s="4" t="str">
        <x:v>Agent/模型与工具</x:v>
      </x:c>
      <x:c r="I180" s="4" t="str">
        <x:v>当前页面未列入</x:v>
      </x:c>
      <x:c r="J180" s="4" t="str">
        <x:v>未记录</x:v>
      </x:c>
      <x:c r="K180" s="4" t="str">
        <x:v>未获取</x:v>
      </x:c>
      <x:c r="L180" s="4" t="str">
        <x:v>未记录</x:v>
      </x:c>
      <x:c r="M180" s="4" t="n">
        <x:v>0</x:v>
      </x:c>
      <x:c r="N180" s="4"/>
      <x:c r="O180" s="4"/>
      <x:c r="P180" s="9"/>
      <x:c r="Q180" s="4"/>
      <x:c r="R180" s="4" t="str">
        <x:v>项目名称/框架的明确功能定位；未逐一在线核验README</x:v>
      </x:c>
      <x:c r="S180" s="4" t="str">
        <x:v>GitHub月榜24-26</x:v>
      </x:c>
      <x:c r="T180" s="4" t="n">
        <x:v>178</x:v>
      </x:c>
      <x:c r="U180" s="4" t="str">
        <x:v>https://github.com/cpacker/MemGPT</x:v>
      </x:c>
      <x:c r="V180" s="4" t="str">
        <x:v>cpacker/memgpt</x:v>
      </x:c>
    </x:row>
    <x:row r="181" ht="44" customHeight="1">
      <x:c r="A181" s="4" t="n">
        <x:v>176</x:v>
      </x:c>
      <x:c r="B181" s="4" t="str">
        <x:v>dail8859/NotepadNext</x:v>
      </x:c>
      <x:c r="C181" s="4" t="n">
        <x:v>10</x:v>
      </x:c>
      <x:c r="D181" s="4" t="str">
        <x:v>文档与办公数据处理</x:v>
      </x:c>
      <x:c r="E181" s="4" t="str">
        <x:v>本地证据分类</x:v>
      </x:c>
      <x:c r="F181" s="4" t="n">
        <x:v>1</x:v>
      </x:c>
      <x:c r="G181" s="4" t="str">
        <x:v>软件项目</x:v>
      </x:c>
      <x:c r="H181" s="4" t="str">
        <x:v>文档/知识内容</x:v>
      </x:c>
      <x:c r="I181" s="4" t="str">
        <x:v>当前页面未列入</x:v>
      </x:c>
      <x:c r="J181" s="4" t="str">
        <x:v>未记录</x:v>
      </x:c>
      <x:c r="K181" s="4" t="str">
        <x:v>未获取</x:v>
      </x:c>
      <x:c r="L181" s="4" t="str">
        <x:v>未记录</x:v>
      </x:c>
      <x:c r="M181" s="4" t="n">
        <x:v>0</x:v>
      </x:c>
      <x:c r="N181" s="4"/>
      <x:c r="O181" s="4"/>
      <x:c r="P181" s="9"/>
      <x:c r="Q181" s="4"/>
      <x:c r="R181" s="4" t="str">
        <x:v>项目名称/框架的明确功能定位；未逐一在线核验README</x:v>
      </x:c>
      <x:c r="S181" s="4" t="str">
        <x:v>GitHub月榜24-26</x:v>
      </x:c>
      <x:c r="T181" s="4" t="n">
        <x:v>179</x:v>
      </x:c>
      <x:c r="U181" s="4" t="str">
        <x:v>https://github.com/dail8859/NotepadNext</x:v>
      </x:c>
      <x:c r="V181" s="4" t="str">
        <x:v>dail8859/notepadnext</x:v>
      </x:c>
    </x:row>
    <x:row r="182" ht="44" customHeight="1">
      <x:c r="A182" s="4" t="n">
        <x:v>177</x:v>
      </x:c>
      <x:c r="B182" s="4" t="str">
        <x:v>dandavison/delta</x:v>
      </x:c>
      <x:c r="C182" s="4" t="n">
        <x:v>14</x:v>
      </x:c>
      <x:c r="D182" s="4" t="str">
        <x:v>软件构建、开发与测试</x:v>
      </x:c>
      <x:c r="E182" s="4" t="str">
        <x:v>本地证据分类</x:v>
      </x:c>
      <x:c r="F182" s="4" t="n">
        <x:v>1</x:v>
      </x:c>
      <x:c r="G182" s="4" t="str">
        <x:v>软件项目</x:v>
      </x:c>
      <x:c r="H182" s="4" t="str">
        <x:v>软件工程；编程Agent需额外挂13标签</x:v>
      </x:c>
      <x:c r="I182" s="4" t="str">
        <x:v>桌面、TUI 与跨端应用</x:v>
      </x:c>
      <x:c r="J182" s="4" t="str">
        <x:v>Rust</x:v>
      </x:c>
      <x:c r="K182" s="4" t="str">
        <x:v>未获取</x:v>
      </x:c>
      <x:c r="L182" s="4" t="str">
        <x:v>未记录</x:v>
      </x:c>
      <x:c r="M182" s="4" t="n">
        <x:v>35</x:v>
      </x:c>
      <x:c r="N182" s="4" t="n">
        <x:v>35</x:v>
      </x:c>
      <x:c r="O182" s="4" t="n">
        <x:v>0</x:v>
      </x:c>
      <x:c r="P182" s="9" t="n">
        <x:v>0</x:v>
      </x:c>
      <x:c r="Q182" s="4"/>
      <x:c r="R182" s="4" t="str">
        <x:v>项目名称/框架的明确功能定位；未逐一在线核验README</x:v>
      </x:c>
      <x:c r="S182" s="4" t="str">
        <x:v>GitHub月榜24-26</x:v>
      </x:c>
      <x:c r="T182" s="4" t="n">
        <x:v>180</x:v>
      </x:c>
      <x:c r="U182" s="4" t="str">
        <x:v>https://github.com/dandavison/delta</x:v>
      </x:c>
      <x:c r="V182" s="4" t="str">
        <x:v>dandavison/delta</x:v>
      </x:c>
    </x:row>
    <x:row r="183" ht="44" customHeight="1">
      <x:c r="A183" s="4" t="n">
        <x:v>178</x:v>
      </x:c>
      <x:c r="B183" s="4" t="str">
        <x:v>dani-garcia/vaultwarden</x:v>
      </x:c>
      <x:c r="C183" s="4" t="n">
        <x:v>4</x:v>
      </x:c>
      <x:c r="D183" s="4" t="str">
        <x:v>安全与身份认证</x:v>
      </x:c>
      <x:c r="E183" s="4" t="str">
        <x:v>本地证据分类</x:v>
      </x:c>
      <x:c r="F183" s="4" t="n">
        <x:v>1</x:v>
      </x:c>
      <x:c r="G183" s="4" t="str">
        <x:v>软件项目</x:v>
      </x:c>
      <x:c r="H183" s="4" t="str">
        <x:v>安全审计</x:v>
      </x:c>
      <x:c r="I183" s="4" t="str">
        <x:v>数据库、存储与中间件</x:v>
      </x:c>
      <x:c r="J183" s="4" t="str">
        <x:v>Rust</x:v>
      </x:c>
      <x:c r="K183" s="4" t="str">
        <x:v>未获取</x:v>
      </x:c>
      <x:c r="L183" s="4" t="str">
        <x:v>未记录</x:v>
      </x:c>
      <x:c r="M183" s="4" t="n">
        <x:v>74</x:v>
      </x:c>
      <x:c r="N183" s="4" t="n">
        <x:v>74</x:v>
      </x:c>
      <x:c r="O183" s="4" t="n">
        <x:v>6</x:v>
      </x:c>
      <x:c r="P183" s="9" t="n">
        <x:v>0.08108108108108109</x:v>
      </x:c>
      <x:c r="Q183" s="4"/>
      <x:c r="R183" s="4" t="str">
        <x:v>项目名称/框架的明确功能定位；未逐一在线核验README</x:v>
      </x:c>
      <x:c r="S183" s="4" t="str">
        <x:v>GitHub月榜24-26</x:v>
      </x:c>
      <x:c r="T183" s="4" t="n">
        <x:v>181</x:v>
      </x:c>
      <x:c r="U183" s="4" t="str">
        <x:v>https://github.com/dani-garcia/vaultwarden</x:v>
      </x:c>
      <x:c r="V183" s="4" t="str">
        <x:v>dani-garcia/vaultwarden</x:v>
      </x:c>
    </x:row>
    <x:row r="184" ht="44" customHeight="1">
      <x:c r="A184" s="4" t="n">
        <x:v>179</x:v>
      </x:c>
      <x:c r="B184" s="4" t="str">
        <x:v>datawhalechina/happy-llm</x:v>
      </x:c>
      <x:c r="C184" s="4"/>
      <x:c r="D184" s="4" t="str">
        <x:v>未归入15类</x:v>
      </x:c>
      <x:c r="E184" s="4" t="str">
        <x:v>范围排除</x:v>
      </x:c>
      <x:c r="F184" s="4" t="n">
        <x:v>0</x:v>
      </x:c>
      <x:c r="G184" s="4" t="str">
        <x:v>教程/资源/技能资产</x:v>
      </x:c>
      <x:c r="H184" s="4" t="str">
        <x:v>知识/数据资产</x:v>
      </x:c>
      <x:c r="I184" s="4" t="str">
        <x:v>当前页面未列入</x:v>
      </x:c>
      <x:c r="J184" s="4" t="str">
        <x:v>未记录</x:v>
      </x:c>
      <x:c r="K184" s="4" t="str">
        <x:v>未获取</x:v>
      </x:c>
      <x:c r="L184" s="4" t="str">
        <x:v>未记录</x:v>
      </x:c>
      <x:c r="M184" s="4" t="n">
        <x:v>0</x:v>
      </x:c>
      <x:c r="N184" s="4"/>
      <x:c r="O184" s="4"/>
      <x:c r="P184" s="9"/>
      <x:c r="Q184" s="4"/>
      <x:c r="R184" s="4" t="str">
        <x:v>按项目名称与已获取定位识别为知识、数据或技能资源；非独立软件能力证据</x:v>
      </x:c>
      <x:c r="S184" s="4" t="str">
        <x:v>GitHub月榜24-26</x:v>
      </x:c>
      <x:c r="T184" s="4" t="n">
        <x:v>182</x:v>
      </x:c>
      <x:c r="U184" s="4" t="str">
        <x:v>https://github.com/datawhalechina/happy-llm</x:v>
      </x:c>
      <x:c r="V184" s="4" t="str">
        <x:v>datawhalechina/happy-llm</x:v>
      </x:c>
    </x:row>
    <x:row r="185" ht="44" customHeight="1">
      <x:c r="A185" s="4" t="n">
        <x:v>180</x:v>
      </x:c>
      <x:c r="B185" s="4" t="str">
        <x:v>datawhalechina/hello-agents</x:v>
      </x:c>
      <x:c r="C185" s="4"/>
      <x:c r="D185" s="4" t="str">
        <x:v>未归入15类</x:v>
      </x:c>
      <x:c r="E185" s="4" t="str">
        <x:v>范围排除</x:v>
      </x:c>
      <x:c r="F185" s="4" t="n">
        <x:v>0</x:v>
      </x:c>
      <x:c r="G185" s="4" t="str">
        <x:v>教程/资源/技能资产</x:v>
      </x:c>
      <x:c r="H185" s="4" t="str">
        <x:v>Agent资源（不等于运行时）</x:v>
      </x:c>
      <x:c r="I185" s="4" t="str">
        <x:v>当前页面未列入</x:v>
      </x:c>
      <x:c r="J185" s="4" t="str">
        <x:v>未记录</x:v>
      </x:c>
      <x:c r="K185" s="4" t="str">
        <x:v>未获取</x:v>
      </x:c>
      <x:c r="L185" s="4" t="str">
        <x:v>未记录</x:v>
      </x:c>
      <x:c r="M185" s="4" t="n">
        <x:v>0</x:v>
      </x:c>
      <x:c r="N185" s="4"/>
      <x:c r="O185" s="4"/>
      <x:c r="P185" s="9"/>
      <x:c r="Q185" s="4"/>
      <x:c r="R185" s="4" t="str">
        <x:v>按项目名称与已获取定位识别为知识、数据或技能资源；非独立软件能力证据</x:v>
      </x:c>
      <x:c r="S185" s="4" t="str">
        <x:v>GitHub月榜24-26</x:v>
      </x:c>
      <x:c r="T185" s="4" t="n">
        <x:v>183</x:v>
      </x:c>
      <x:c r="U185" s="4" t="str">
        <x:v>https://github.com/datawhalechina/hello-agents</x:v>
      </x:c>
      <x:c r="V185" s="4" t="str">
        <x:v>datawhalechina/hello-agents</x:v>
      </x:c>
    </x:row>
    <x:row r="186" ht="44" customHeight="1">
      <x:c r="A186" s="4" t="n">
        <x:v>181</x:v>
      </x:c>
      <x:c r="B186" s="4" t="str">
        <x:v>datawhalechina/prompt-engineering-for-developers</x:v>
      </x:c>
      <x:c r="C186" s="4"/>
      <x:c r="D186" s="4" t="str">
        <x:v>未归入15类</x:v>
      </x:c>
      <x:c r="E186" s="4" t="str">
        <x:v>范围排除</x:v>
      </x:c>
      <x:c r="F186" s="4" t="n">
        <x:v>0</x:v>
      </x:c>
      <x:c r="G186" s="4" t="str">
        <x:v>教程/资源/技能资产</x:v>
      </x:c>
      <x:c r="H186" s="4" t="str">
        <x:v>知识/数据资产</x:v>
      </x:c>
      <x:c r="I186" s="4" t="str">
        <x:v>Agent 与 AI 应用</x:v>
      </x:c>
      <x:c r="J186" s="4" t="str">
        <x:v>Python</x:v>
      </x:c>
      <x:c r="K186" s="4" t="str">
        <x:v>未获取</x:v>
      </x:c>
      <x:c r="L186" s="4" t="str">
        <x:v>未记录</x:v>
      </x:c>
      <x:c r="M186" s="4" t="n">
        <x:v>28</x:v>
      </x:c>
      <x:c r="N186" s="4" t="n">
        <x:v>28</x:v>
      </x:c>
      <x:c r="O186" s="4" t="n">
        <x:v>13</x:v>
      </x:c>
      <x:c r="P186" s="9" t="n">
        <x:v>0.4642857142857143</x:v>
      </x:c>
      <x:c r="Q186" s="4"/>
      <x:c r="R186" s="4" t="str">
        <x:v>按项目名称与已获取定位识别为知识、数据或技能资源；非独立软件能力证据</x:v>
      </x:c>
      <x:c r="S186" s="4" t="str">
        <x:v>GitHub月榜24-26</x:v>
      </x:c>
      <x:c r="T186" s="4" t="n">
        <x:v>184</x:v>
      </x:c>
      <x:c r="U186" s="4" t="str">
        <x:v>https://github.com/datawhalechina/prompt-engineering-for-developers</x:v>
      </x:c>
      <x:c r="V186" s="4" t="str">
        <x:v>datawhalechina/prompt-engineering-for-developers</x:v>
      </x:c>
    </x:row>
    <x:row r="187" ht="44" customHeight="1">
      <x:c r="A187" s="4" t="n">
        <x:v>182</x:v>
      </x:c>
      <x:c r="B187" s="4" t="str">
        <x:v>davila7/claude-code-templates</x:v>
      </x:c>
      <x:c r="C187" s="4"/>
      <x:c r="D187" s="4" t="str">
        <x:v>未归入15类</x:v>
      </x:c>
      <x:c r="E187" s="4" t="str">
        <x:v>信息不足</x:v>
      </x:c>
      <x:c r="F187" s="4" t="n">
        <x:v>1</x:v>
      </x:c>
      <x:c r="G187" s="4" t="str">
        <x:v>待确认项目</x:v>
      </x:c>
      <x:c r="H187" s="4" t="str"/>
      <x:c r="I187" s="4" t="str">
        <x:v>Agent 与 AI 应用</x:v>
      </x:c>
      <x:c r="J187" s="4" t="str">
        <x:v>JavaScript/TypeScript</x:v>
      </x:c>
      <x:c r="K187" s="4" t="str">
        <x:v>未获取</x:v>
      </x:c>
      <x:c r="L187" s="4" t="str">
        <x:v>未记录</x:v>
      </x:c>
      <x:c r="M187" s="4" t="n">
        <x:v>17</x:v>
      </x:c>
      <x:c r="N187" s="4" t="n">
        <x:v>17</x:v>
      </x:c>
      <x:c r="O187" s="4" t="n">
        <x:v>17</x:v>
      </x:c>
      <x:c r="P187" s="9" t="n">
        <x:v>1</x:v>
      </x:c>
      <x:c r="Q187" s="4"/>
      <x:c r="R187" s="4" t="str">
        <x:v>缺少明确功能描述，不按依赖或语言强行归类</x:v>
      </x:c>
      <x:c r="S187" s="4" t="str">
        <x:v>GitHub月榜24-26</x:v>
      </x:c>
      <x:c r="T187" s="4" t="n">
        <x:v>185</x:v>
      </x:c>
      <x:c r="U187" s="4" t="str">
        <x:v>https://github.com/davila7/claude-code-templates</x:v>
      </x:c>
      <x:c r="V187" s="4" t="str">
        <x:v>davila7/claude-code-templates</x:v>
      </x:c>
    </x:row>
    <x:row r="188" ht="44" customHeight="1">
      <x:c r="A188" s="4" t="n">
        <x:v>183</x:v>
      </x:c>
      <x:c r="B188" s="4" t="str">
        <x:v>daytonaio/daytona</x:v>
      </x:c>
      <x:c r="C188" s="4" t="n">
        <x:v>14</x:v>
      </x:c>
      <x:c r="D188" s="4" t="str">
        <x:v>软件构建、开发与测试</x:v>
      </x:c>
      <x:c r="E188" s="4" t="str">
        <x:v>本地证据分类</x:v>
      </x:c>
      <x:c r="F188" s="4" t="n">
        <x:v>1</x:v>
      </x:c>
      <x:c r="G188" s="4" t="str">
        <x:v>软件项目</x:v>
      </x:c>
      <x:c r="H188" s="4" t="str">
        <x:v>软件工程；编程Agent需额外挂13标签</x:v>
      </x:c>
      <x:c r="I188" s="4" t="str">
        <x:v>当前页面未列入</x:v>
      </x:c>
      <x:c r="J188" s="4" t="str">
        <x:v>未记录</x:v>
      </x:c>
      <x:c r="K188" s="4" t="str">
        <x:v>未获取</x:v>
      </x:c>
      <x:c r="L188" s="4" t="str">
        <x:v>未记录</x:v>
      </x:c>
      <x:c r="M188" s="4" t="n">
        <x:v>0</x:v>
      </x:c>
      <x:c r="N188" s="4"/>
      <x:c r="O188" s="4"/>
      <x:c r="P188" s="9"/>
      <x:c r="Q188" s="4"/>
      <x:c r="R188" s="4" t="str">
        <x:v>项目名称/框架的明确功能定位；未逐一在线核验README</x:v>
      </x:c>
      <x:c r="S188" s="4" t="str">
        <x:v>GitHub月榜24-26</x:v>
      </x:c>
      <x:c r="T188" s="4" t="n">
        <x:v>186</x:v>
      </x:c>
      <x:c r="U188" s="4" t="str">
        <x:v>https://github.com/daytonaio/daytona</x:v>
      </x:c>
      <x:c r="V188" s="4" t="str">
        <x:v>daytonaio/daytona</x:v>
      </x:c>
    </x:row>
    <x:row r="189" ht="44" customHeight="1">
      <x:c r="A189" s="4" t="n">
        <x:v>184</x:v>
      </x:c>
      <x:c r="B189" s="4" t="str">
        <x:v>decolua/9router</x:v>
      </x:c>
      <x:c r="C189" s="4" t="n">
        <x:v>11</x:v>
      </x:c>
      <x:c r="D189" s="4" t="str">
        <x:v>AI模型与机器学习</x:v>
      </x:c>
      <x:c r="E189" s="4" t="str">
        <x:v>本地证据分类</x:v>
      </x:c>
      <x:c r="F189" s="4" t="n">
        <x:v>1</x:v>
      </x:c>
      <x:c r="G189" s="4" t="str">
        <x:v>软件项目</x:v>
      </x:c>
      <x:c r="H189" s="4" t="str">
        <x:v>AI模型/推理</x:v>
      </x:c>
      <x:c r="I189" s="4" t="str">
        <x:v>Web 与业务服务</x:v>
      </x:c>
      <x:c r="J189" s="4" t="str">
        <x:v>JavaScript/TypeScript</x:v>
      </x:c>
      <x:c r="K189" s="4" t="str">
        <x:v>未获取</x:v>
      </x:c>
      <x:c r="L189" s="4" t="str">
        <x:v>未记录</x:v>
      </x:c>
      <x:c r="M189" s="4" t="n">
        <x:v>27</x:v>
      </x:c>
      <x:c r="N189" s="4" t="n">
        <x:v>27</x:v>
      </x:c>
      <x:c r="O189" s="4" t="n">
        <x:v>23</x:v>
      </x:c>
      <x:c r="P189" s="9" t="n">
        <x:v>0.8518518518518519</x:v>
      </x:c>
      <x:c r="Q189" s="4"/>
      <x:c r="R189" s="4" t="str">
        <x:v>项目名称/框架的明确功能定位；未逐一在线核验README</x:v>
      </x:c>
      <x:c r="S189" s="4" t="str">
        <x:v>GitHub月榜24-26</x:v>
      </x:c>
      <x:c r="T189" s="4" t="n">
        <x:v>187</x:v>
      </x:c>
      <x:c r="U189" s="4" t="str">
        <x:v>https://github.com/decolua/9router</x:v>
      </x:c>
      <x:c r="V189" s="4" t="str">
        <x:v>decolua/9router</x:v>
      </x:c>
    </x:row>
    <x:row r="190" ht="44" customHeight="1">
      <x:c r="A190" s="4" t="n">
        <x:v>185</x:v>
      </x:c>
      <x:c r="B190" s="4" t="str">
        <x:v>deepseek-ai/3FS</x:v>
      </x:c>
      <x:c r="C190" s="4" t="n">
        <x:v>5</x:v>
      </x:c>
      <x:c r="D190" s="4" t="str">
        <x:v>数据库、存储与检索</x:v>
      </x:c>
      <x:c r="E190" s="4" t="str">
        <x:v>本地证据分类</x:v>
      </x:c>
      <x:c r="F190" s="4" t="n">
        <x:v>1</x:v>
      </x:c>
      <x:c r="G190" s="4" t="str">
        <x:v>软件项目</x:v>
      </x:c>
      <x:c r="H190" s="4" t="str">
        <x:v>数据服务</x:v>
      </x:c>
      <x:c r="I190" s="4" t="str">
        <x:v>当前页面未列入</x:v>
      </x:c>
      <x:c r="J190" s="4" t="str">
        <x:v>未记录</x:v>
      </x:c>
      <x:c r="K190" s="4" t="str">
        <x:v>未获取</x:v>
      </x:c>
      <x:c r="L190" s="4" t="str">
        <x:v>未记录</x:v>
      </x:c>
      <x:c r="M190" s="4" t="n">
        <x:v>0</x:v>
      </x:c>
      <x:c r="N190" s="4"/>
      <x:c r="O190" s="4"/>
      <x:c r="P190" s="9"/>
      <x:c r="Q190" s="4"/>
      <x:c r="R190" s="4" t="str">
        <x:v>项目名称/框架的明确功能定位；未逐一在线核验README</x:v>
      </x:c>
      <x:c r="S190" s="4" t="str">
        <x:v>GitHub月榜24-26</x:v>
      </x:c>
      <x:c r="T190" s="4" t="n">
        <x:v>188</x:v>
      </x:c>
      <x:c r="U190" s="4" t="str">
        <x:v>https://github.com/deepseek-ai/3FS</x:v>
      </x:c>
      <x:c r="V190" s="4" t="str">
        <x:v>deepseek-ai/3fs</x:v>
      </x:c>
    </x:row>
    <x:row r="191" ht="44" customHeight="1">
      <x:c r="A191" s="4" t="n">
        <x:v>186</x:v>
      </x:c>
      <x:c r="B191" s="4" t="str">
        <x:v>deepseek-ai/DeepEP</x:v>
      </x:c>
      <x:c r="C191" s="4" t="n">
        <x:v>11</x:v>
      </x:c>
      <x:c r="D191" s="4" t="str">
        <x:v>AI模型与机器学习</x:v>
      </x:c>
      <x:c r="E191" s="4" t="str">
        <x:v>本地证据分类</x:v>
      </x:c>
      <x:c r="F191" s="4" t="n">
        <x:v>1</x:v>
      </x:c>
      <x:c r="G191" s="4" t="str">
        <x:v>软件项目</x:v>
      </x:c>
      <x:c r="H191" s="4" t="str">
        <x:v>AI模型/推理</x:v>
      </x:c>
      <x:c r="I191" s="4" t="str">
        <x:v>当前页面未列入</x:v>
      </x:c>
      <x:c r="J191" s="4" t="str">
        <x:v>未记录</x:v>
      </x:c>
      <x:c r="K191" s="4" t="str">
        <x:v>未获取</x:v>
      </x:c>
      <x:c r="L191" s="4" t="str">
        <x:v>未记录</x:v>
      </x:c>
      <x:c r="M191" s="4" t="n">
        <x:v>0</x:v>
      </x:c>
      <x:c r="N191" s="4"/>
      <x:c r="O191" s="4"/>
      <x:c r="P191" s="9"/>
      <x:c r="Q191" s="4"/>
      <x:c r="R191" s="4" t="str">
        <x:v>项目名称/框架的明确功能定位；未逐一在线核验README</x:v>
      </x:c>
      <x:c r="S191" s="4" t="str">
        <x:v>GitHub月榜24-26</x:v>
      </x:c>
      <x:c r="T191" s="4" t="n">
        <x:v>189</x:v>
      </x:c>
      <x:c r="U191" s="4" t="str">
        <x:v>https://github.com/deepseek-ai/DeepEP</x:v>
      </x:c>
      <x:c r="V191" s="4" t="str">
        <x:v>deepseek-ai/deepep</x:v>
      </x:c>
    </x:row>
    <x:row r="192" ht="44" customHeight="1">
      <x:c r="A192" s="4" t="n">
        <x:v>187</x:v>
      </x:c>
      <x:c r="B192" s="4" t="str">
        <x:v>deepseek-ai/DeepGEMM</x:v>
      </x:c>
      <x:c r="C192" s="4" t="n">
        <x:v>11</x:v>
      </x:c>
      <x:c r="D192" s="4" t="str">
        <x:v>AI模型与机器学习</x:v>
      </x:c>
      <x:c r="E192" s="4" t="str">
        <x:v>本地证据分类</x:v>
      </x:c>
      <x:c r="F192" s="4" t="n">
        <x:v>1</x:v>
      </x:c>
      <x:c r="G192" s="4" t="str">
        <x:v>软件项目</x:v>
      </x:c>
      <x:c r="H192" s="4" t="str">
        <x:v>AI模型/推理</x:v>
      </x:c>
      <x:c r="I192" s="4" t="str">
        <x:v>当前页面未列入</x:v>
      </x:c>
      <x:c r="J192" s="4" t="str">
        <x:v>未记录</x:v>
      </x:c>
      <x:c r="K192" s="4" t="str">
        <x:v>未获取</x:v>
      </x:c>
      <x:c r="L192" s="4" t="str">
        <x:v>未记录</x:v>
      </x:c>
      <x:c r="M192" s="4" t="n">
        <x:v>0</x:v>
      </x:c>
      <x:c r="N192" s="4"/>
      <x:c r="O192" s="4"/>
      <x:c r="P192" s="9"/>
      <x:c r="Q192" s="4"/>
      <x:c r="R192" s="4" t="str">
        <x:v>项目名称/框架的明确功能定位；未逐一在线核验README</x:v>
      </x:c>
      <x:c r="S192" s="4" t="str">
        <x:v>GitHub月榜24-26</x:v>
      </x:c>
      <x:c r="T192" s="4" t="n">
        <x:v>190</x:v>
      </x:c>
      <x:c r="U192" s="4" t="str">
        <x:v>https://github.com/deepseek-ai/DeepGEMM</x:v>
      </x:c>
      <x:c r="V192" s="4" t="str">
        <x:v>deepseek-ai/deepgemm</x:v>
      </x:c>
    </x:row>
    <x:row r="193" ht="44" customHeight="1">
      <x:c r="A193" s="4" t="n">
        <x:v>188</x:v>
      </x:c>
      <x:c r="B193" s="4" t="str">
        <x:v>deepseek-ai/FlashMLA</x:v>
      </x:c>
      <x:c r="C193" s="4" t="n">
        <x:v>11</x:v>
      </x:c>
      <x:c r="D193" s="4" t="str">
        <x:v>AI模型与机器学习</x:v>
      </x:c>
      <x:c r="E193" s="4" t="str">
        <x:v>本地证据分类</x:v>
      </x:c>
      <x:c r="F193" s="4" t="n">
        <x:v>1</x:v>
      </x:c>
      <x:c r="G193" s="4" t="str">
        <x:v>软件项目</x:v>
      </x:c>
      <x:c r="H193" s="4" t="str">
        <x:v>AI模型/推理</x:v>
      </x:c>
      <x:c r="I193" s="4" t="str">
        <x:v>当前页面未列入</x:v>
      </x:c>
      <x:c r="J193" s="4" t="str">
        <x:v>未记录</x:v>
      </x:c>
      <x:c r="K193" s="4" t="str">
        <x:v>未获取</x:v>
      </x:c>
      <x:c r="L193" s="4" t="str">
        <x:v>未记录</x:v>
      </x:c>
      <x:c r="M193" s="4" t="n">
        <x:v>0</x:v>
      </x:c>
      <x:c r="N193" s="4"/>
      <x:c r="O193" s="4"/>
      <x:c r="P193" s="9"/>
      <x:c r="Q193" s="4"/>
      <x:c r="R193" s="4" t="str">
        <x:v>项目名称/框架的明确功能定位；未逐一在线核验README</x:v>
      </x:c>
      <x:c r="S193" s="4" t="str">
        <x:v>GitHub月榜24-26</x:v>
      </x:c>
      <x:c r="T193" s="4" t="n">
        <x:v>191</x:v>
      </x:c>
      <x:c r="U193" s="4" t="str">
        <x:v>https://github.com/deepseek-ai/FlashMLA</x:v>
      </x:c>
      <x:c r="V193" s="4" t="str">
        <x:v>deepseek-ai/flashmla</x:v>
      </x:c>
    </x:row>
    <x:row r="194" ht="44" customHeight="1">
      <x:c r="A194" s="4" t="n">
        <x:v>189</x:v>
      </x:c>
      <x:c r="B194" s="4" t="str">
        <x:v>deepseek-ai/awesome-deepseek-integration</x:v>
      </x:c>
      <x:c r="C194" s="4"/>
      <x:c r="D194" s="4" t="str">
        <x:v>未归入15类</x:v>
      </x:c>
      <x:c r="E194" s="4" t="str">
        <x:v>范围排除</x:v>
      </x:c>
      <x:c r="F194" s="4" t="n">
        <x:v>0</x:v>
      </x:c>
      <x:c r="G194" s="4" t="str">
        <x:v>教程/资源/技能资产</x:v>
      </x:c>
      <x:c r="H194" s="4" t="str">
        <x:v>知识/数据资产</x:v>
      </x:c>
      <x:c r="I194" s="4" t="str">
        <x:v>当前页面未列入</x:v>
      </x:c>
      <x:c r="J194" s="4" t="str">
        <x:v>未记录</x:v>
      </x:c>
      <x:c r="K194" s="4" t="str">
        <x:v>未获取</x:v>
      </x:c>
      <x:c r="L194" s="4" t="str">
        <x:v>未记录</x:v>
      </x:c>
      <x:c r="M194" s="4" t="n">
        <x:v>0</x:v>
      </x:c>
      <x:c r="N194" s="4"/>
      <x:c r="O194" s="4"/>
      <x:c r="P194" s="9"/>
      <x:c r="Q194" s="4"/>
      <x:c r="R194" s="4" t="str">
        <x:v>按项目名称与已获取定位识别为知识、数据或技能资源；非独立软件能力证据</x:v>
      </x:c>
      <x:c r="S194" s="4" t="str">
        <x:v>GitHub月榜24-26</x:v>
      </x:c>
      <x:c r="T194" s="4" t="n">
        <x:v>192</x:v>
      </x:c>
      <x:c r="U194" s="4" t="str">
        <x:v>https://github.com/deepseek-ai/awesome-deepseek-integration</x:v>
      </x:c>
      <x:c r="V194" s="4" t="str">
        <x:v>deepseek-ai/awesome-deepseek-integration</x:v>
      </x:c>
    </x:row>
    <x:row r="195" ht="44" customHeight="1">
      <x:c r="A195" s="4" t="n">
        <x:v>190</x:v>
      </x:c>
      <x:c r="B195" s="4" t="str">
        <x:v>diegosouzapw/OmniRoute</x:v>
      </x:c>
      <x:c r="C195" s="4" t="n">
        <x:v>11</x:v>
      </x:c>
      <x:c r="D195" s="4" t="str">
        <x:v>AI模型与机器学习</x:v>
      </x:c>
      <x:c r="E195" s="4" t="str">
        <x:v>本地证据分类</x:v>
      </x:c>
      <x:c r="F195" s="4" t="n">
        <x:v>1</x:v>
      </x:c>
      <x:c r="G195" s="4" t="str">
        <x:v>软件项目</x:v>
      </x:c>
      <x:c r="H195" s="4" t="str">
        <x:v>AI模型/推理</x:v>
      </x:c>
      <x:c r="I195" s="4" t="str">
        <x:v>Web 与业务服务</x:v>
      </x:c>
      <x:c r="J195" s="4" t="str">
        <x:v>JavaScript/TypeScript</x:v>
      </x:c>
      <x:c r="K195" s="4" t="str">
        <x:v>未获取</x:v>
      </x:c>
      <x:c r="L195" s="4" t="str">
        <x:v>未记录</x:v>
      </x:c>
      <x:c r="M195" s="4" t="n">
        <x:v>94</x:v>
      </x:c>
      <x:c r="N195" s="4" t="n">
        <x:v>94</x:v>
      </x:c>
      <x:c r="O195" s="4" t="n">
        <x:v>72</x:v>
      </x:c>
      <x:c r="P195" s="9" t="n">
        <x:v>0.7659574468085106</x:v>
      </x:c>
      <x:c r="Q195" s="4"/>
      <x:c r="R195" s="4" t="str">
        <x:v>项目名称/框架的明确功能定位；未逐一在线核验README</x:v>
      </x:c>
      <x:c r="S195" s="4" t="str">
        <x:v>GitHub月榜24-26</x:v>
      </x:c>
      <x:c r="T195" s="4" t="n">
        <x:v>193</x:v>
      </x:c>
      <x:c r="U195" s="4" t="str">
        <x:v>https://github.com/diegosouzapw/OmniRoute</x:v>
      </x:c>
      <x:c r="V195" s="4" t="str">
        <x:v>diegosouzapw/omniroute</x:v>
      </x:c>
    </x:row>
    <x:row r="196" ht="44" customHeight="1">
      <x:c r="A196" s="4" t="n">
        <x:v>191</x:v>
      </x:c>
      <x:c r="B196" s="4" t="str">
        <x:v>docker/awesome-compose</x:v>
      </x:c>
      <x:c r="C196" s="4"/>
      <x:c r="D196" s="4" t="str">
        <x:v>未归入15类</x:v>
      </x:c>
      <x:c r="E196" s="4" t="str">
        <x:v>范围排除</x:v>
      </x:c>
      <x:c r="F196" s="4" t="n">
        <x:v>0</x:v>
      </x:c>
      <x:c r="G196" s="4" t="str">
        <x:v>教程/资源/技能资产</x:v>
      </x:c>
      <x:c r="H196" s="4" t="str">
        <x:v>知识/数据资产</x:v>
      </x:c>
      <x:c r="I196" s="4" t="str">
        <x:v>当前页面未列入</x:v>
      </x:c>
      <x:c r="J196" s="4" t="str">
        <x:v>未记录</x:v>
      </x:c>
      <x:c r="K196" s="4" t="str">
        <x:v>未获取</x:v>
      </x:c>
      <x:c r="L196" s="4" t="str">
        <x:v>未记录</x:v>
      </x:c>
      <x:c r="M196" s="4" t="n">
        <x:v>0</x:v>
      </x:c>
      <x:c r="N196" s="4"/>
      <x:c r="O196" s="4"/>
      <x:c r="P196" s="9"/>
      <x:c r="Q196" s="4"/>
      <x:c r="R196" s="4" t="str">
        <x:v>按项目名称与已获取定位识别为知识、数据或技能资源；非独立软件能力证据</x:v>
      </x:c>
      <x:c r="S196" s="4" t="str">
        <x:v>GitHub月榜24-26</x:v>
      </x:c>
      <x:c r="T196" s="4" t="n">
        <x:v>194</x:v>
      </x:c>
      <x:c r="U196" s="4" t="str">
        <x:v>https://github.com/docker/awesome-compose</x:v>
      </x:c>
      <x:c r="V196" s="4" t="str">
        <x:v>docker/awesome-compose</x:v>
      </x:c>
    </x:row>
    <x:row r="197" ht="44" customHeight="1">
      <x:c r="A197" s="4" t="n">
        <x:v>192</x:v>
      </x:c>
      <x:c r="B197" s="4" t="str">
        <x:v>dockur/macos</x:v>
      </x:c>
      <x:c r="C197" s="4" t="n">
        <x:v>2</x:v>
      </x:c>
      <x:c r="D197" s="4" t="str">
        <x:v>系统资源与原生互操作</x:v>
      </x:c>
      <x:c r="E197" s="4" t="str">
        <x:v>本地证据分类</x:v>
      </x:c>
      <x:c r="F197" s="4" t="n">
        <x:v>1</x:v>
      </x:c>
      <x:c r="G197" s="4" t="str">
        <x:v>软件项目</x:v>
      </x:c>
      <x:c r="H197" s="4" t="str">
        <x:v>原生/系统接口</x:v>
      </x:c>
      <x:c r="I197" s="4" t="str">
        <x:v>当前页面未列入</x:v>
      </x:c>
      <x:c r="J197" s="4" t="str">
        <x:v>未记录</x:v>
      </x:c>
      <x:c r="K197" s="4" t="str">
        <x:v>未获取</x:v>
      </x:c>
      <x:c r="L197" s="4" t="str">
        <x:v>未记录</x:v>
      </x:c>
      <x:c r="M197" s="4" t="n">
        <x:v>0</x:v>
      </x:c>
      <x:c r="N197" s="4"/>
      <x:c r="O197" s="4"/>
      <x:c r="P197" s="9"/>
      <x:c r="Q197" s="4"/>
      <x:c r="R197" s="4" t="str">
        <x:v>项目名称/框架的明确功能定位；未逐一在线核验README</x:v>
      </x:c>
      <x:c r="S197" s="4" t="str">
        <x:v>GitHub月榜24-26</x:v>
      </x:c>
      <x:c r="T197" s="4" t="n">
        <x:v>195</x:v>
      </x:c>
      <x:c r="U197" s="4" t="str">
        <x:v>https://github.com/dockur/macos</x:v>
      </x:c>
      <x:c r="V197" s="4" t="str">
        <x:v>dockur/macos</x:v>
      </x:c>
    </x:row>
    <x:row r="198" ht="44" customHeight="1">
      <x:c r="A198" s="4" t="n">
        <x:v>193</x:v>
      </x:c>
      <x:c r="B198" s="4" t="str">
        <x:v>dyad-sh/dyad</x:v>
      </x:c>
      <x:c r="C198" s="4" t="n">
        <x:v>14</x:v>
      </x:c>
      <x:c r="D198" s="4" t="str">
        <x:v>软件构建、开发与测试</x:v>
      </x:c>
      <x:c r="E198" s="4" t="str">
        <x:v>本地证据分类</x:v>
      </x:c>
      <x:c r="F198" s="4" t="n">
        <x:v>1</x:v>
      </x:c>
      <x:c r="G198" s="4" t="str">
        <x:v>软件项目</x:v>
      </x:c>
      <x:c r="H198" s="4" t="str">
        <x:v>软件工程；编程Agent需额外挂13标签</x:v>
      </x:c>
      <x:c r="I198" s="4" t="str">
        <x:v>Agent 与 AI 应用</x:v>
      </x:c>
      <x:c r="J198" s="4" t="str">
        <x:v>JavaScript/TypeScript</x:v>
      </x:c>
      <x:c r="K198" s="4" t="str">
        <x:v>未获取</x:v>
      </x:c>
      <x:c r="L198" s="4" t="str">
        <x:v>未记录</x:v>
      </x:c>
      <x:c r="M198" s="4" t="n">
        <x:v>100</x:v>
      </x:c>
      <x:c r="N198" s="4" t="n">
        <x:v>100</x:v>
      </x:c>
      <x:c r="O198" s="4" t="n">
        <x:v>76</x:v>
      </x:c>
      <x:c r="P198" s="9" t="n">
        <x:v>0.76</x:v>
      </x:c>
      <x:c r="Q198" s="4"/>
      <x:c r="R198" s="4" t="str">
        <x:v>项目名称/框架的明确功能定位；未逐一在线核验README</x:v>
      </x:c>
      <x:c r="S198" s="4" t="str">
        <x:v>GitHub月榜24-26</x:v>
      </x:c>
      <x:c r="T198" s="4" t="n">
        <x:v>196</x:v>
      </x:c>
      <x:c r="U198" s="4" t="str">
        <x:v>https://github.com/dyad-sh/dyad</x:v>
      </x:c>
      <x:c r="V198" s="4" t="str">
        <x:v>dyad-sh/dyad</x:v>
      </x:c>
    </x:row>
    <x:row r="199" ht="44" customHeight="1">
      <x:c r="A199" s="4" t="n">
        <x:v>194</x:v>
      </x:c>
      <x:c r="B199" s="4" t="str">
        <x:v>dylanaraps/pure-bash-bible</x:v>
      </x:c>
      <x:c r="C199" s="4"/>
      <x:c r="D199" s="4" t="str">
        <x:v>未归入15类</x:v>
      </x:c>
      <x:c r="E199" s="4" t="str">
        <x:v>范围排除</x:v>
      </x:c>
      <x:c r="F199" s="4" t="n">
        <x:v>0</x:v>
      </x:c>
      <x:c r="G199" s="4" t="str">
        <x:v>教程/资源/技能资产</x:v>
      </x:c>
      <x:c r="H199" s="4" t="str">
        <x:v>知识/数据资产</x:v>
      </x:c>
      <x:c r="I199" s="4" t="str">
        <x:v>当前页面未列入</x:v>
      </x:c>
      <x:c r="J199" s="4" t="str">
        <x:v>未记录</x:v>
      </x:c>
      <x:c r="K199" s="4" t="str">
        <x:v>未获取</x:v>
      </x:c>
      <x:c r="L199" s="4" t="str">
        <x:v>未记录</x:v>
      </x:c>
      <x:c r="M199" s="4" t="n">
        <x:v>0</x:v>
      </x:c>
      <x:c r="N199" s="4"/>
      <x:c r="O199" s="4"/>
      <x:c r="P199" s="9"/>
      <x:c r="Q199" s="4"/>
      <x:c r="R199" s="4" t="str">
        <x:v>按项目名称与已获取定位识别为知识、数据或技能资源；非独立软件能力证据</x:v>
      </x:c>
      <x:c r="S199" s="4" t="str">
        <x:v>GitHub月榜24-26</x:v>
      </x:c>
      <x:c r="T199" s="4" t="n">
        <x:v>197</x:v>
      </x:c>
      <x:c r="U199" s="4" t="str">
        <x:v>https://github.com/dylanaraps/pure-bash-bible</x:v>
      </x:c>
      <x:c r="V199" s="4" t="str">
        <x:v>dylanaraps/pure-bash-bible</x:v>
      </x:c>
    </x:row>
    <x:row r="200" ht="44" customHeight="1">
      <x:c r="A200" s="4" t="n">
        <x:v>195</x:v>
      </x:c>
      <x:c r="B200" s="4" t="str">
        <x:v>earendil-works/pi</x:v>
      </x:c>
      <x:c r="C200" s="4"/>
      <x:c r="D200" s="4" t="str">
        <x:v>未归入15类</x:v>
      </x:c>
      <x:c r="E200" s="4" t="str">
        <x:v>信息不足</x:v>
      </x:c>
      <x:c r="F200" s="4" t="n">
        <x:v>1</x:v>
      </x:c>
      <x:c r="G200" s="4" t="str">
        <x:v>待确认项目</x:v>
      </x:c>
      <x:c r="H200" s="4" t="str"/>
      <x:c r="I200" s="4" t="str">
        <x:v>Agent 与 AI 应用</x:v>
      </x:c>
      <x:c r="J200" s="4" t="str">
        <x:v>JavaScript/TypeScript</x:v>
      </x:c>
      <x:c r="K200" s="4" t="str">
        <x:v>未获取</x:v>
      </x:c>
      <x:c r="L200" s="4" t="str">
        <x:v>未记录</x:v>
      </x:c>
      <x:c r="M200" s="4" t="n">
        <x:v>2</x:v>
      </x:c>
      <x:c r="N200" s="4" t="n">
        <x:v>2</x:v>
      </x:c>
      <x:c r="O200" s="4" t="n">
        <x:v>0</x:v>
      </x:c>
      <x:c r="P200" s="9" t="n">
        <x:v>0</x:v>
      </x:c>
      <x:c r="Q200" s="4"/>
      <x:c r="R200" s="4" t="str">
        <x:v>缺少明确功能描述，不按依赖或语言强行归类</x:v>
      </x:c>
      <x:c r="S200" s="4" t="str">
        <x:v>GitHub月榜24-26</x:v>
      </x:c>
      <x:c r="T200" s="4" t="n">
        <x:v>198</x:v>
      </x:c>
      <x:c r="U200" s="4" t="str">
        <x:v>https://github.com/earendil-works/pi</x:v>
      </x:c>
      <x:c r="V200" s="4" t="str">
        <x:v>earendil-works/pi</x:v>
      </x:c>
    </x:row>
    <x:row r="201" ht="44" customHeight="1">
      <x:c r="A201" s="4" t="n">
        <x:v>196</x:v>
      </x:c>
      <x:c r="B201" s="4" t="str">
        <x:v>eigent-ai/eigent</x:v>
      </x:c>
      <x:c r="C201" s="4" t="n">
        <x:v>13</x:v>
      </x:c>
      <x:c r="D201" s="4" t="str">
        <x:v>Agent编排与工具执行</x:v>
      </x:c>
      <x:c r="E201" s="4" t="str">
        <x:v>本地证据分类</x:v>
      </x:c>
      <x:c r="F201" s="4" t="n">
        <x:v>1</x:v>
      </x:c>
      <x:c r="G201" s="4" t="str">
        <x:v>软件项目</x:v>
      </x:c>
      <x:c r="H201" s="4" t="str">
        <x:v>Agent/模型与工具</x:v>
      </x:c>
      <x:c r="I201" s="4" t="str">
        <x:v>桌面、TUI 与跨端应用</x:v>
      </x:c>
      <x:c r="J201" s="4" t="str">
        <x:v>JavaScript/TypeScript</x:v>
      </x:c>
      <x:c r="K201" s="4" t="str">
        <x:v>未获取</x:v>
      </x:c>
      <x:c r="L201" s="4" t="str">
        <x:v>未记录</x:v>
      </x:c>
      <x:c r="M201" s="4" t="n">
        <x:v>67</x:v>
      </x:c>
      <x:c r="N201" s="4" t="n">
        <x:v>67</x:v>
      </x:c>
      <x:c r="O201" s="4" t="n">
        <x:v>54</x:v>
      </x:c>
      <x:c r="P201" s="9" t="n">
        <x:v>0.8059701492537313</x:v>
      </x:c>
      <x:c r="Q201" s="4"/>
      <x:c r="R201" s="4" t="str">
        <x:v>项目名称/框架的明确功能定位；未逐一在线核验README</x:v>
      </x:c>
      <x:c r="S201" s="4" t="str">
        <x:v>GitHub月榜24-26</x:v>
      </x:c>
      <x:c r="T201" s="4" t="n">
        <x:v>199</x:v>
      </x:c>
      <x:c r="U201" s="4" t="str">
        <x:v>https://github.com/eigent-ai/eigent</x:v>
      </x:c>
      <x:c r="V201" s="4" t="str">
        <x:v>eigent-ai/eigent</x:v>
      </x:c>
    </x:row>
    <x:row r="202" ht="44" customHeight="1">
      <x:c r="A202" s="4" t="n">
        <x:v>197</x:v>
      </x:c>
      <x:c r="B202" s="4" t="str">
        <x:v>electronicarts/CnC_Remastered_Collection</x:v>
      </x:c>
      <x:c r="C202" s="4" t="n">
        <x:v>9</x:v>
      </x:c>
      <x:c r="D202" s="4" t="str">
        <x:v>图形、多媒体与实时应用</x:v>
      </x:c>
      <x:c r="E202" s="4" t="str">
        <x:v>本地证据分类</x:v>
      </x:c>
      <x:c r="F202" s="4" t="n">
        <x:v>1</x:v>
      </x:c>
      <x:c r="G202" s="4" t="str">
        <x:v>软件项目</x:v>
      </x:c>
      <x:c r="H202" s="4" t="str">
        <x:v>媒体/图形</x:v>
      </x:c>
      <x:c r="I202" s="4" t="str">
        <x:v>当前页面未列入</x:v>
      </x:c>
      <x:c r="J202" s="4" t="str">
        <x:v>未记录</x:v>
      </x:c>
      <x:c r="K202" s="4" t="str">
        <x:v>未获取</x:v>
      </x:c>
      <x:c r="L202" s="4" t="str">
        <x:v>未记录</x:v>
      </x:c>
      <x:c r="M202" s="4" t="n">
        <x:v>0</x:v>
      </x:c>
      <x:c r="N202" s="4"/>
      <x:c r="O202" s="4"/>
      <x:c r="P202" s="9"/>
      <x:c r="Q202" s="4"/>
      <x:c r="R202" s="4" t="str">
        <x:v>项目名称/框架的明确功能定位；未逐一在线核验README</x:v>
      </x:c>
      <x:c r="S202" s="4" t="str">
        <x:v>GitHub月榜24-26</x:v>
      </x:c>
      <x:c r="T202" s="4" t="n">
        <x:v>200</x:v>
      </x:c>
      <x:c r="U202" s="4" t="str">
        <x:v>https://github.com/electronicarts/CnC_Remastered_Collection</x:v>
      </x:c>
      <x:c r="V202" s="4" t="str">
        <x:v>electronicarts/cnc_remastered_collection</x:v>
      </x:c>
    </x:row>
    <x:row r="203" ht="44" customHeight="1">
      <x:c r="A203" s="4" t="n">
        <x:v>198</x:v>
      </x:c>
      <x:c r="B203" s="4" t="str">
        <x:v>embedchain/embedchain</x:v>
      </x:c>
      <x:c r="C203" s="4" t="n">
        <x:v>13</x:v>
      </x:c>
      <x:c r="D203" s="4" t="str">
        <x:v>Agent编排与工具执行</x:v>
      </x:c>
      <x:c r="E203" s="4" t="str">
        <x:v>本地证据分类</x:v>
      </x:c>
      <x:c r="F203" s="4" t="n">
        <x:v>1</x:v>
      </x:c>
      <x:c r="G203" s="4" t="str">
        <x:v>软件项目</x:v>
      </x:c>
      <x:c r="H203" s="4" t="str">
        <x:v>Agent/模型与工具</x:v>
      </x:c>
      <x:c r="I203" s="4" t="str">
        <x:v>Agent 与 AI 应用</x:v>
      </x:c>
      <x:c r="J203" s="4" t="str">
        <x:v>Python</x:v>
      </x:c>
      <x:c r="K203" s="4" t="str">
        <x:v>未获取</x:v>
      </x:c>
      <x:c r="L203" s="4" t="str">
        <x:v>未记录</x:v>
      </x:c>
      <x:c r="M203" s="4" t="n">
        <x:v>8</x:v>
      </x:c>
      <x:c r="N203" s="4" t="n">
        <x:v>8</x:v>
      </x:c>
      <x:c r="O203" s="4" t="n">
        <x:v>5</x:v>
      </x:c>
      <x:c r="P203" s="9" t="n">
        <x:v>0.625</x:v>
      </x:c>
      <x:c r="Q203" s="4"/>
      <x:c r="R203" s="4" t="str">
        <x:v>项目名称/框架的明确功能定位；未逐一在线核验README</x:v>
      </x:c>
      <x:c r="S203" s="4" t="str">
        <x:v>GitHub月榜24-26</x:v>
      </x:c>
      <x:c r="T203" s="4" t="n">
        <x:v>201</x:v>
      </x:c>
      <x:c r="U203" s="4" t="str">
        <x:v>https://github.com/embedchain/embedchain</x:v>
      </x:c>
      <x:c r="V203" s="4" t="str">
        <x:v>embedchain/embedchain</x:v>
      </x:c>
    </x:row>
    <x:row r="204" ht="44" customHeight="1">
      <x:c r="A204" s="4" t="n">
        <x:v>199</x:v>
      </x:c>
      <x:c r="B204" s="4" t="str">
        <x:v>emilkowalski/skills</x:v>
      </x:c>
      <x:c r="C204" s="4"/>
      <x:c r="D204" s="4" t="str">
        <x:v>未归入15类</x:v>
      </x:c>
      <x:c r="E204" s="4" t="str">
        <x:v>范围排除</x:v>
      </x:c>
      <x:c r="F204" s="4" t="n">
        <x:v>0</x:v>
      </x:c>
      <x:c r="G204" s="4" t="str">
        <x:v>教程/资源/技能资产</x:v>
      </x:c>
      <x:c r="H204" s="4" t="str">
        <x:v>Agent资源（不等于运行时）</x:v>
      </x:c>
      <x:c r="I204" s="4" t="str">
        <x:v>当前页面未列入</x:v>
      </x:c>
      <x:c r="J204" s="4" t="str">
        <x:v>未记录</x:v>
      </x:c>
      <x:c r="K204" s="4" t="str">
        <x:v>未获取</x:v>
      </x:c>
      <x:c r="L204" s="4" t="str">
        <x:v>未记录</x:v>
      </x:c>
      <x:c r="M204" s="4" t="n">
        <x:v>0</x:v>
      </x:c>
      <x:c r="N204" s="4"/>
      <x:c r="O204" s="4"/>
      <x:c r="P204" s="9"/>
      <x:c r="Q204" s="4"/>
      <x:c r="R204" s="4" t="str">
        <x:v>按项目名称与已获取定位识别为知识、数据或技能资源；非独立软件能力证据</x:v>
      </x:c>
      <x:c r="S204" s="4" t="str">
        <x:v>GitHub月榜24-26</x:v>
      </x:c>
      <x:c r="T204" s="4" t="n">
        <x:v>202</x:v>
      </x:c>
      <x:c r="U204" s="4" t="str">
        <x:v>https://github.com/emilkowalski/skills</x:v>
      </x:c>
      <x:c r="V204" s="4" t="str">
        <x:v>emilkowalski/skills</x:v>
      </x:c>
    </x:row>
    <x:row r="205" ht="44" customHeight="1">
      <x:c r="A205" s="4" t="n">
        <x:v>200</x:v>
      </x:c>
      <x:c r="B205" s="4" t="str">
        <x:v>evershopcommerce/evershop</x:v>
      </x:c>
      <x:c r="C205" s="4" t="n">
        <x:v>6</x:v>
      </x:c>
      <x:c r="D205" s="4" t="str">
        <x:v>后端服务与业务流程</x:v>
      </x:c>
      <x:c r="E205" s="4" t="str">
        <x:v>本地证据分类</x:v>
      </x:c>
      <x:c r="F205" s="4" t="n">
        <x:v>1</x:v>
      </x:c>
      <x:c r="G205" s="4" t="str">
        <x:v>软件项目</x:v>
      </x:c>
      <x:c r="H205" s="4" t="str">
        <x:v>业务应用/确定性工作流</x:v>
      </x:c>
      <x:c r="I205" s="4" t="str">
        <x:v>Web 与业务服务</x:v>
      </x:c>
      <x:c r="J205" s="4" t="str">
        <x:v>JavaScript/TypeScript</x:v>
      </x:c>
      <x:c r="K205" s="4" t="str">
        <x:v>未获取</x:v>
      </x:c>
      <x:c r="L205" s="4" t="str">
        <x:v>未记录</x:v>
      </x:c>
      <x:c r="M205" s="4" t="n">
        <x:v>9</x:v>
      </x:c>
      <x:c r="N205" s="4" t="n">
        <x:v>9</x:v>
      </x:c>
      <x:c r="O205" s="4" t="n">
        <x:v>9</x:v>
      </x:c>
      <x:c r="P205" s="9" t="n">
        <x:v>1</x:v>
      </x:c>
      <x:c r="Q205" s="4"/>
      <x:c r="R205" s="4" t="str">
        <x:v>项目名称/框架的明确功能定位；未逐一在线核验README</x:v>
      </x:c>
      <x:c r="S205" s="4" t="str">
        <x:v>GitHub月榜24-26</x:v>
      </x:c>
      <x:c r="T205" s="4" t="n">
        <x:v>203</x:v>
      </x:c>
      <x:c r="U205" s="4" t="str">
        <x:v>https://github.com/evershopcommerce/evershop</x:v>
      </x:c>
      <x:c r="V205" s="4" t="str">
        <x:v>evershopcommerce/evershop</x:v>
      </x:c>
    </x:row>
    <x:row r="206" ht="44" customHeight="1">
      <x:c r="A206" s="4" t="n">
        <x:v>201</x:v>
      </x:c>
      <x:c r="B206" s="4" t="str">
        <x:v>exo-explore/exo</x:v>
      </x:c>
      <x:c r="C206" s="4" t="n">
        <x:v>11</x:v>
      </x:c>
      <x:c r="D206" s="4" t="str">
        <x:v>AI模型与机器学习</x:v>
      </x:c>
      <x:c r="E206" s="4" t="str">
        <x:v>本地证据分类</x:v>
      </x:c>
      <x:c r="F206" s="4" t="n">
        <x:v>1</x:v>
      </x:c>
      <x:c r="G206" s="4" t="str">
        <x:v>软件项目</x:v>
      </x:c>
      <x:c r="H206" s="4" t="str">
        <x:v>AI模型/推理</x:v>
      </x:c>
      <x:c r="I206" s="4" t="str">
        <x:v>Agent 与 AI 应用</x:v>
      </x:c>
      <x:c r="J206" s="4" t="str">
        <x:v>Python</x:v>
      </x:c>
      <x:c r="K206" s="4" t="str">
        <x:v>未获取</x:v>
      </x:c>
      <x:c r="L206" s="4" t="str">
        <x:v>未记录</x:v>
      </x:c>
      <x:c r="M206" s="4" t="n">
        <x:v>22</x:v>
      </x:c>
      <x:c r="N206" s="4" t="n">
        <x:v>22</x:v>
      </x:c>
      <x:c r="O206" s="4" t="n">
        <x:v>18</x:v>
      </x:c>
      <x:c r="P206" s="9" t="n">
        <x:v>0.8181818181818182</x:v>
      </x:c>
      <x:c r="Q206" s="4"/>
      <x:c r="R206" s="4" t="str">
        <x:v>项目名称/框架的明确功能定位；未逐一在线核验README</x:v>
      </x:c>
      <x:c r="S206" s="4" t="str">
        <x:v>GitHub月榜24-26</x:v>
      </x:c>
      <x:c r="T206" s="4" t="n">
        <x:v>204</x:v>
      </x:c>
      <x:c r="U206" s="4" t="str">
        <x:v>https://github.com/exo-explore/exo</x:v>
      </x:c>
      <x:c r="V206" s="4" t="str">
        <x:v>exo-explore/exo</x:v>
      </x:c>
    </x:row>
    <x:row r="207" ht="44" customHeight="1">
      <x:c r="A207" s="4" t="n">
        <x:v>202</x:v>
      </x:c>
      <x:c r="B207" s="4" t="str">
        <x:v>expo/expo</x:v>
      </x:c>
      <x:c r="C207" s="4" t="n">
        <x:v>7</x:v>
      </x:c>
      <x:c r="D207" s="4" t="str">
        <x:v>用户界面与交互</x:v>
      </x:c>
      <x:c r="E207" s="4" t="str">
        <x:v>本地证据分类</x:v>
      </x:c>
      <x:c r="F207" s="4" t="n">
        <x:v>1</x:v>
      </x:c>
      <x:c r="G207" s="4" t="str">
        <x:v>软件项目</x:v>
      </x:c>
      <x:c r="H207" s="4" t="str">
        <x:v>UI框架</x:v>
      </x:c>
      <x:c r="I207" s="4" t="str">
        <x:v>行业与其他应用</x:v>
      </x:c>
      <x:c r="J207" s="4" t="str">
        <x:v>JavaScript/TypeScript</x:v>
      </x:c>
      <x:c r="K207" s="4" t="str">
        <x:v>未获取</x:v>
      </x:c>
      <x:c r="L207" s="4" t="str">
        <x:v>未记录</x:v>
      </x:c>
      <x:c r="M207" s="4" t="n">
        <x:v>8</x:v>
      </x:c>
      <x:c r="N207" s="4" t="n">
        <x:v>8</x:v>
      </x:c>
      <x:c r="O207" s="4" t="n">
        <x:v>1</x:v>
      </x:c>
      <x:c r="P207" s="9" t="n">
        <x:v>0.125</x:v>
      </x:c>
      <x:c r="Q207" s="4"/>
      <x:c r="R207" s="4" t="str">
        <x:v>项目名称/框架的明确功能定位；未逐一在线核验README</x:v>
      </x:c>
      <x:c r="S207" s="4" t="str">
        <x:v>GitHub月榜24-26</x:v>
      </x:c>
      <x:c r="T207" s="4" t="n">
        <x:v>205</x:v>
      </x:c>
      <x:c r="U207" s="4" t="str">
        <x:v>https://github.com/expo/expo</x:v>
      </x:c>
      <x:c r="V207" s="4" t="str">
        <x:v>expo/expo</x:v>
      </x:c>
    </x:row>
    <x:row r="208" ht="44" customHeight="1">
      <x:c r="A208" s="4" t="n">
        <x:v>203</x:v>
      </x:c>
      <x:c r="B208" s="4" t="str">
        <x:v>facebook/astryx</x:v>
      </x:c>
      <x:c r="C208" s="4"/>
      <x:c r="D208" s="4" t="str">
        <x:v>未归入15类</x:v>
      </x:c>
      <x:c r="E208" s="4" t="str">
        <x:v>信息不足</x:v>
      </x:c>
      <x:c r="F208" s="4" t="n">
        <x:v>1</x:v>
      </x:c>
      <x:c r="G208" s="4" t="str">
        <x:v>待确认项目</x:v>
      </x:c>
      <x:c r="H208" s="4" t="str"/>
      <x:c r="I208" s="4" t="str">
        <x:v>教育、示例与资源</x:v>
      </x:c>
      <x:c r="J208" s="4" t="str">
        <x:v>JavaScript/TypeScript</x:v>
      </x:c>
      <x:c r="K208" s="4" t="str">
        <x:v>未获取</x:v>
      </x:c>
      <x:c r="L208" s="4" t="str">
        <x:v>未记录</x:v>
      </x:c>
      <x:c r="M208" s="4" t="n">
        <x:v>14</x:v>
      </x:c>
      <x:c r="N208" s="4" t="n">
        <x:v>14</x:v>
      </x:c>
      <x:c r="O208" s="4" t="n">
        <x:v>10</x:v>
      </x:c>
      <x:c r="P208" s="9" t="n">
        <x:v>0.7142857142857143</x:v>
      </x:c>
      <x:c r="Q208" s="4"/>
      <x:c r="R208" s="4" t="str">
        <x:v>缺少明确功能描述，不按依赖或语言强行归类</x:v>
      </x:c>
      <x:c r="S208" s="4" t="str">
        <x:v>GitHub月榜24-26</x:v>
      </x:c>
      <x:c r="T208" s="4" t="n">
        <x:v>206</x:v>
      </x:c>
      <x:c r="U208" s="4" t="str">
        <x:v>https://github.com/facebook/astryx</x:v>
      </x:c>
      <x:c r="V208" s="4" t="str">
        <x:v>facebook/astryx</x:v>
      </x:c>
    </x:row>
    <x:row r="209" ht="44" customHeight="1">
      <x:c r="A209" s="4" t="n">
        <x:v>204</x:v>
      </x:c>
      <x:c r="B209" s="4" t="str">
        <x:v>facebookresearch/AnimatedDrawings</x:v>
      </x:c>
      <x:c r="C209" s="4" t="n">
        <x:v>9</x:v>
      </x:c>
      <x:c r="D209" s="4" t="str">
        <x:v>图形、多媒体与实时应用</x:v>
      </x:c>
      <x:c r="E209" s="4" t="str">
        <x:v>本地证据分类</x:v>
      </x:c>
      <x:c r="F209" s="4" t="n">
        <x:v>1</x:v>
      </x:c>
      <x:c r="G209" s="4" t="str">
        <x:v>软件项目</x:v>
      </x:c>
      <x:c r="H209" s="4" t="str">
        <x:v>媒体/图形</x:v>
      </x:c>
      <x:c r="I209" s="4" t="str">
        <x:v>多媒体与图形</x:v>
      </x:c>
      <x:c r="J209" s="4" t="str">
        <x:v>Python</x:v>
      </x:c>
      <x:c r="K209" s="4" t="str">
        <x:v>未获取</x:v>
      </x:c>
      <x:c r="L209" s="4" t="str">
        <x:v>未记录</x:v>
      </x:c>
      <x:c r="M209" s="4" t="n">
        <x:v>14</x:v>
      </x:c>
      <x:c r="N209" s="4" t="n">
        <x:v>14</x:v>
      </x:c>
      <x:c r="O209" s="4" t="n">
        <x:v>12</x:v>
      </x:c>
      <x:c r="P209" s="9" t="n">
        <x:v>0.8571428571428571</x:v>
      </x:c>
      <x:c r="Q209" s="4"/>
      <x:c r="R209" s="4" t="str">
        <x:v>项目名称/框架的明确功能定位；未逐一在线核验README</x:v>
      </x:c>
      <x:c r="S209" s="4" t="str">
        <x:v>GitHub月榜24-26</x:v>
      </x:c>
      <x:c r="T209" s="4" t="n">
        <x:v>207</x:v>
      </x:c>
      <x:c r="U209" s="4" t="str">
        <x:v>https://github.com/facebookresearch/AnimatedDrawings</x:v>
      </x:c>
      <x:c r="V209" s="4" t="str">
        <x:v>facebookresearch/animateddrawings</x:v>
      </x:c>
    </x:row>
    <x:row r="210" ht="44" customHeight="1">
      <x:c r="A210" s="4" t="n">
        <x:v>205</x:v>
      </x:c>
      <x:c r="B210" s="4" t="str">
        <x:v>farhanashrafdev/90DaysOfCyberSecurity</x:v>
      </x:c>
      <x:c r="C210" s="4"/>
      <x:c r="D210" s="4" t="str">
        <x:v>未归入15类</x:v>
      </x:c>
      <x:c r="E210" s="4" t="str">
        <x:v>范围排除</x:v>
      </x:c>
      <x:c r="F210" s="4" t="n">
        <x:v>0</x:v>
      </x:c>
      <x:c r="G210" s="4" t="str">
        <x:v>教程/资源/技能资产</x:v>
      </x:c>
      <x:c r="H210" s="4" t="str">
        <x:v>知识/数据资产</x:v>
      </x:c>
      <x:c r="I210" s="4" t="str">
        <x:v>当前页面未列入</x:v>
      </x:c>
      <x:c r="J210" s="4" t="str">
        <x:v>未记录</x:v>
      </x:c>
      <x:c r="K210" s="4" t="str">
        <x:v>未获取</x:v>
      </x:c>
      <x:c r="L210" s="4" t="str">
        <x:v>未记录</x:v>
      </x:c>
      <x:c r="M210" s="4" t="n">
        <x:v>0</x:v>
      </x:c>
      <x:c r="N210" s="4"/>
      <x:c r="O210" s="4"/>
      <x:c r="P210" s="9"/>
      <x:c r="Q210" s="4"/>
      <x:c r="R210" s="4" t="str">
        <x:v>按项目名称与已获取定位识别为知识、数据或技能资源；非独立软件能力证据</x:v>
      </x:c>
      <x:c r="S210" s="4" t="str">
        <x:v>GitHub月榜24-26</x:v>
      </x:c>
      <x:c r="T210" s="4" t="n">
        <x:v>208</x:v>
      </x:c>
      <x:c r="U210" s="4" t="str">
        <x:v>https://github.com/farhanashrafdev/90DaysOfCyberSecurity</x:v>
      </x:c>
      <x:c r="V210" s="4" t="str">
        <x:v>farhanashrafdev/90daysofcybersecurity</x:v>
      </x:c>
    </x:row>
    <x:row r="211" ht="44" customHeight="1">
      <x:c r="A211" s="4" t="n">
        <x:v>206</x:v>
      </x:c>
      <x:c r="B211" s="4" t="str">
        <x:v>farion1231/cc-switch</x:v>
      </x:c>
      <x:c r="C211" s="4" t="n">
        <x:v>14</x:v>
      </x:c>
      <x:c r="D211" s="4" t="str">
        <x:v>软件构建、开发与测试</x:v>
      </x:c>
      <x:c r="E211" s="4" t="str">
        <x:v>元数据已核验</x:v>
      </x:c>
      <x:c r="F211" s="4" t="n">
        <x:v>1</x:v>
      </x:c>
      <x:c r="G211" s="4" t="str">
        <x:v>软件项目</x:v>
      </x:c>
      <x:c r="H211" s="4" t="str">
        <x:v>软件工程；编程Agent需额外挂13标签</x:v>
      </x:c>
      <x:c r="I211" s="4" t="str">
        <x:v>Web 与业务服务</x:v>
      </x:c>
      <x:c r="J211" s="4" t="str">
        <x:v>JavaScript/TypeScript</x:v>
      </x:c>
      <x:c r="K211" s="4" t="str">
        <x:v>Rust</x:v>
      </x:c>
      <x:c r="L211" s="4" t="str">
        <x:v>未记录</x:v>
      </x:c>
      <x:c r="M211" s="4" t="n">
        <x:v>33</x:v>
      </x:c>
      <x:c r="N211" s="4" t="n">
        <x:v>33</x:v>
      </x:c>
      <x:c r="O211" s="4" t="n">
        <x:v>30</x:v>
      </x:c>
      <x:c r="P211" s="9" t="n">
        <x:v>0.9090909090909091</x:v>
      </x:c>
      <x:c r="Q211" s="4"/>
      <x:c r="R211" s="4" t="str">
        <x:v>项目定位与GitHub描述人工对照</x:v>
      </x:c>
      <x:c r="S211" s="4" t="str">
        <x:v>GitHub月榜24-26</x:v>
      </x:c>
      <x:c r="T211" s="4" t="n">
        <x:v>209</x:v>
      </x:c>
      <x:c r="U211" s="4" t="str">
        <x:v>https://github.com/farion1231/cc-switch</x:v>
      </x:c>
      <x:c r="V211" s="4" t="str">
        <x:v>farion1231/cc-switch</x:v>
      </x:c>
    </x:row>
    <x:row r="212" ht="44" customHeight="1">
      <x:c r="A212" s="4" t="n">
        <x:v>207</x:v>
      </x:c>
      <x:c r="B212" s="4" t="str">
        <x:v>firecrawl/anydoc</x:v>
      </x:c>
      <x:c r="C212" s="4" t="n">
        <x:v>10</x:v>
      </x:c>
      <x:c r="D212" s="4" t="str">
        <x:v>文档与办公数据处理</x:v>
      </x:c>
      <x:c r="E212" s="4" t="str">
        <x:v>本地证据分类</x:v>
      </x:c>
      <x:c r="F212" s="4" t="n">
        <x:v>1</x:v>
      </x:c>
      <x:c r="G212" s="4" t="str">
        <x:v>软件项目</x:v>
      </x:c>
      <x:c r="H212" s="4" t="str">
        <x:v>文档解析/排版</x:v>
      </x:c>
      <x:c r="I212" s="4" t="str">
        <x:v>浏览器自动化与数据采集</x:v>
      </x:c>
      <x:c r="J212" s="4" t="str">
        <x:v>Rust</x:v>
      </x:c>
      <x:c r="K212" s="4" t="str">
        <x:v>未获取</x:v>
      </x:c>
      <x:c r="L212" s="4" t="str">
        <x:v>未记录</x:v>
      </x:c>
      <x:c r="M212" s="4" t="n">
        <x:v>10</x:v>
      </x:c>
      <x:c r="N212" s="4" t="n">
        <x:v>10</x:v>
      </x:c>
      <x:c r="O212" s="4" t="n">
        <x:v>0</x:v>
      </x:c>
      <x:c r="P212" s="9" t="n">
        <x:v>0</x:v>
      </x:c>
      <x:c r="Q212" s="4"/>
      <x:c r="R212" s="4" t="str">
        <x:v>项目名称/框架的明确功能定位；未逐一在线核验README</x:v>
      </x:c>
      <x:c r="S212" s="4" t="str">
        <x:v>GitHub月榜24-26</x:v>
      </x:c>
      <x:c r="T212" s="4" t="n">
        <x:v>210</x:v>
      </x:c>
      <x:c r="U212" s="4" t="str">
        <x:v>https://github.com/firecrawl/anydoc</x:v>
      </x:c>
      <x:c r="V212" s="4" t="str">
        <x:v>firecrawl/anydoc</x:v>
      </x:c>
    </x:row>
    <x:row r="213" ht="44" customHeight="1">
      <x:c r="A213" s="4" t="n">
        <x:v>208</x:v>
      </x:c>
      <x:c r="B213" s="4" t="str">
        <x:v>firecrawl/pdf-inspector</x:v>
      </x:c>
      <x:c r="C213" s="4" t="n">
        <x:v>10</x:v>
      </x:c>
      <x:c r="D213" s="4" t="str">
        <x:v>文档与办公数据处理</x:v>
      </x:c>
      <x:c r="E213" s="4" t="str">
        <x:v>本地证据分类</x:v>
      </x:c>
      <x:c r="F213" s="4" t="n">
        <x:v>1</x:v>
      </x:c>
      <x:c r="G213" s="4" t="str">
        <x:v>软件项目</x:v>
      </x:c>
      <x:c r="H213" s="4" t="str">
        <x:v>文档/知识内容</x:v>
      </x:c>
      <x:c r="I213" s="4" t="str">
        <x:v>当前页面未列入</x:v>
      </x:c>
      <x:c r="J213" s="4" t="str">
        <x:v>未记录</x:v>
      </x:c>
      <x:c r="K213" s="4" t="str">
        <x:v>未获取</x:v>
      </x:c>
      <x:c r="L213" s="4" t="str">
        <x:v>未记录</x:v>
      </x:c>
      <x:c r="M213" s="4" t="n">
        <x:v>0</x:v>
      </x:c>
      <x:c r="N213" s="4"/>
      <x:c r="O213" s="4"/>
      <x:c r="P213" s="9"/>
      <x:c r="Q213" s="4"/>
      <x:c r="R213" s="4" t="str">
        <x:v>项目名称/框架的明确功能定位；未逐一在线核验README</x:v>
      </x:c>
      <x:c r="S213" s="4" t="str">
        <x:v>GitHub月榜24-26</x:v>
      </x:c>
      <x:c r="T213" s="4" t="n">
        <x:v>211</x:v>
      </x:c>
      <x:c r="U213" s="4" t="str">
        <x:v>https://github.com/firecrawl/pdf-inspector</x:v>
      </x:c>
      <x:c r="V213" s="4" t="str">
        <x:v>firecrawl/pdf-inspector</x:v>
      </x:c>
    </x:row>
    <x:row r="214" ht="44" customHeight="1">
      <x:c r="A214" s="4" t="n">
        <x:v>209</x:v>
      </x:c>
      <x:c r="B214" s="4" t="str">
        <x:v>formbricks/formbricks</x:v>
      </x:c>
      <x:c r="C214" s="4" t="n">
        <x:v>6</x:v>
      </x:c>
      <x:c r="D214" s="4" t="str">
        <x:v>后端服务与业务流程</x:v>
      </x:c>
      <x:c r="E214" s="4" t="str">
        <x:v>本地证据分类</x:v>
      </x:c>
      <x:c r="F214" s="4" t="n">
        <x:v>1</x:v>
      </x:c>
      <x:c r="G214" s="4" t="str">
        <x:v>软件项目</x:v>
      </x:c>
      <x:c r="H214" s="4" t="str">
        <x:v>业务应用/确定性工作流</x:v>
      </x:c>
      <x:c r="I214" s="4" t="str">
        <x:v>浏览器自动化与数据采集</x:v>
      </x:c>
      <x:c r="J214" s="4" t="str">
        <x:v>JavaScript/TypeScript</x:v>
      </x:c>
      <x:c r="K214" s="4" t="str">
        <x:v>未获取</x:v>
      </x:c>
      <x:c r="L214" s="4" t="str">
        <x:v>未记录</x:v>
      </x:c>
      <x:c r="M214" s="4" t="n">
        <x:v>6</x:v>
      </x:c>
      <x:c r="N214" s="4" t="n">
        <x:v>6</x:v>
      </x:c>
      <x:c r="O214" s="4" t="n">
        <x:v>3</x:v>
      </x:c>
      <x:c r="P214" s="9" t="n">
        <x:v>0.5</x:v>
      </x:c>
      <x:c r="Q214" s="4"/>
      <x:c r="R214" s="4" t="str">
        <x:v>项目名称/框架的明确功能定位；未逐一在线核验README</x:v>
      </x:c>
      <x:c r="S214" s="4" t="str">
        <x:v>GitHub月榜24-26</x:v>
      </x:c>
      <x:c r="T214" s="4" t="n">
        <x:v>212</x:v>
      </x:c>
      <x:c r="U214" s="4" t="str">
        <x:v>https://github.com/formbricks/formbricks</x:v>
      </x:c>
      <x:c r="V214" s="4" t="str">
        <x:v>formbricks/formbricks</x:v>
      </x:c>
    </x:row>
    <x:row r="215" ht="44" customHeight="1">
      <x:c r="A215" s="4" t="n">
        <x:v>210</x:v>
      </x:c>
      <x:c r="B215" s="4" t="str">
        <x:v>forrestchang/andrej-karpathy-skills</x:v>
      </x:c>
      <x:c r="C215" s="4"/>
      <x:c r="D215" s="4" t="str">
        <x:v>未归入15类</x:v>
      </x:c>
      <x:c r="E215" s="4" t="str">
        <x:v>范围排除</x:v>
      </x:c>
      <x:c r="F215" s="4" t="n">
        <x:v>0</x:v>
      </x:c>
      <x:c r="G215" s="4" t="str">
        <x:v>教程/资源/技能资产</x:v>
      </x:c>
      <x:c r="H215" s="4" t="str">
        <x:v>Agent资源（不等于运行时）</x:v>
      </x:c>
      <x:c r="I215" s="4" t="str">
        <x:v>当前页面未列入</x:v>
      </x:c>
      <x:c r="J215" s="4" t="str">
        <x:v>未记录</x:v>
      </x:c>
      <x:c r="K215" s="4" t="str">
        <x:v>未获取</x:v>
      </x:c>
      <x:c r="L215" s="4" t="str">
        <x:v>未记录</x:v>
      </x:c>
      <x:c r="M215" s="4" t="n">
        <x:v>0</x:v>
      </x:c>
      <x:c r="N215" s="4"/>
      <x:c r="O215" s="4"/>
      <x:c r="P215" s="9"/>
      <x:c r="Q215" s="4"/>
      <x:c r="R215" s="4" t="str">
        <x:v>按项目名称与已获取定位识别为知识、数据或技能资源；非独立软件能力证据</x:v>
      </x:c>
      <x:c r="S215" s="4" t="str">
        <x:v>GitHub月榜24-26</x:v>
      </x:c>
      <x:c r="T215" s="4" t="n">
        <x:v>213</x:v>
      </x:c>
      <x:c r="U215" s="4" t="str">
        <x:v>https://github.com/forrestchang/andrej-karpathy-skills</x:v>
      </x:c>
      <x:c r="V215" s="4" t="str">
        <x:v>forrestchang/andrej-karpathy-skills</x:v>
      </x:c>
    </x:row>
    <x:row r="216" ht="44" customHeight="1">
      <x:c r="A216" s="4" t="n">
        <x:v>211</x:v>
      </x:c>
      <x:c r="B216" s="4" t="str">
        <x:v>frappe/hrms</x:v>
      </x:c>
      <x:c r="C216" s="4" t="n">
        <x:v>6</x:v>
      </x:c>
      <x:c r="D216" s="4" t="str">
        <x:v>后端服务与业务流程</x:v>
      </x:c>
      <x:c r="E216" s="4" t="str">
        <x:v>本地证据分类</x:v>
      </x:c>
      <x:c r="F216" s="4" t="n">
        <x:v>1</x:v>
      </x:c>
      <x:c r="G216" s="4" t="str">
        <x:v>软件项目</x:v>
      </x:c>
      <x:c r="H216" s="4" t="str">
        <x:v>业务应用/确定性工作流</x:v>
      </x:c>
      <x:c r="I216" s="4" t="str">
        <x:v>当前页面未列入</x:v>
      </x:c>
      <x:c r="J216" s="4" t="str">
        <x:v>未记录</x:v>
      </x:c>
      <x:c r="K216" s="4" t="str">
        <x:v>未获取</x:v>
      </x:c>
      <x:c r="L216" s="4" t="str">
        <x:v>未记录</x:v>
      </x:c>
      <x:c r="M216" s="4" t="n">
        <x:v>0</x:v>
      </x:c>
      <x:c r="N216" s="4"/>
      <x:c r="O216" s="4"/>
      <x:c r="P216" s="9"/>
      <x:c r="Q216" s="4"/>
      <x:c r="R216" s="4" t="str">
        <x:v>项目名称/框架的明确功能定位；未逐一在线核验README</x:v>
      </x:c>
      <x:c r="S216" s="4" t="str">
        <x:v>GitHub月榜24-26</x:v>
      </x:c>
      <x:c r="T216" s="4" t="n">
        <x:v>214</x:v>
      </x:c>
      <x:c r="U216" s="4" t="str">
        <x:v>https://github.com/frappe/hrms</x:v>
      </x:c>
      <x:c r="V216" s="4" t="str">
        <x:v>frappe/hrms</x:v>
      </x:c>
    </x:row>
    <x:row r="217" ht="44" customHeight="1">
      <x:c r="A217" s="4" t="n">
        <x:v>212</x:v>
      </x:c>
      <x:c r="B217" s="4" t="str">
        <x:v>frdel/agent-zero</x:v>
      </x:c>
      <x:c r="C217" s="4" t="n">
        <x:v>13</x:v>
      </x:c>
      <x:c r="D217" s="4" t="str">
        <x:v>Agent编排与工具执行</x:v>
      </x:c>
      <x:c r="E217" s="4" t="str">
        <x:v>本地证据分类</x:v>
      </x:c>
      <x:c r="F217" s="4" t="n">
        <x:v>1</x:v>
      </x:c>
      <x:c r="G217" s="4" t="str">
        <x:v>软件项目</x:v>
      </x:c>
      <x:c r="H217" s="4" t="str">
        <x:v>Agent/模型与工具</x:v>
      </x:c>
      <x:c r="I217" s="4" t="str">
        <x:v>Agent 与 AI 应用</x:v>
      </x:c>
      <x:c r="J217" s="4" t="str">
        <x:v>Python</x:v>
      </x:c>
      <x:c r="K217" s="4" t="str">
        <x:v>未获取</x:v>
      </x:c>
      <x:c r="L217" s="4" t="str">
        <x:v>未记录</x:v>
      </x:c>
      <x:c r="M217" s="4" t="n">
        <x:v>64</x:v>
      </x:c>
      <x:c r="N217" s="4" t="n">
        <x:v>64</x:v>
      </x:c>
      <x:c r="O217" s="4" t="n">
        <x:v>48</x:v>
      </x:c>
      <x:c r="P217" s="9" t="n">
        <x:v>0.75</x:v>
      </x:c>
      <x:c r="Q217" s="4"/>
      <x:c r="R217" s="4" t="str">
        <x:v>项目名称/框架的明确功能定位；未逐一在线核验README</x:v>
      </x:c>
      <x:c r="S217" s="4" t="str">
        <x:v>GitHub月榜24-26</x:v>
      </x:c>
      <x:c r="T217" s="4" t="n">
        <x:v>215</x:v>
      </x:c>
      <x:c r="U217" s="4" t="str">
        <x:v>https://github.com/frdel/agent-zero</x:v>
      </x:c>
      <x:c r="V217" s="4" t="str">
        <x:v>frdel/agent-zero</x:v>
      </x:c>
    </x:row>
    <x:row r="218" ht="44" customHeight="1">
      <x:c r="A218" s="4" t="n">
        <x:v>213</x:v>
      </x:c>
      <x:c r="B218" s="4" t="str">
        <x:v>freestylefly/awesome-gpt-image-2</x:v>
      </x:c>
      <x:c r="C218" s="4"/>
      <x:c r="D218" s="4" t="str">
        <x:v>未归入15类</x:v>
      </x:c>
      <x:c r="E218" s="4" t="str">
        <x:v>范围排除</x:v>
      </x:c>
      <x:c r="F218" s="4" t="n">
        <x:v>0</x:v>
      </x:c>
      <x:c r="G218" s="4" t="str">
        <x:v>教程/资源/技能资产</x:v>
      </x:c>
      <x:c r="H218" s="4" t="str">
        <x:v>知识/数据资产</x:v>
      </x:c>
      <x:c r="I218" s="4" t="str">
        <x:v>当前页面未列入</x:v>
      </x:c>
      <x:c r="J218" s="4" t="str">
        <x:v>未记录</x:v>
      </x:c>
      <x:c r="K218" s="4" t="str">
        <x:v>未获取</x:v>
      </x:c>
      <x:c r="L218" s="4" t="str">
        <x:v>未记录</x:v>
      </x:c>
      <x:c r="M218" s="4" t="n">
        <x:v>0</x:v>
      </x:c>
      <x:c r="N218" s="4"/>
      <x:c r="O218" s="4"/>
      <x:c r="P218" s="9"/>
      <x:c r="Q218" s="4"/>
      <x:c r="R218" s="4" t="str">
        <x:v>按项目名称与已获取定位识别为知识、数据或技能资源；非独立软件能力证据</x:v>
      </x:c>
      <x:c r="S218" s="4" t="str">
        <x:v>GitHub月榜24-26</x:v>
      </x:c>
      <x:c r="T218" s="4" t="n">
        <x:v>216</x:v>
      </x:c>
      <x:c r="U218" s="4" t="str">
        <x:v>https://github.com/freestylefly/awesome-gpt-image-2</x:v>
      </x:c>
      <x:c r="V218" s="4" t="str">
        <x:v>freestylefly/awesome-gpt-image-2</x:v>
      </x:c>
    </x:row>
    <x:row r="219" ht="44" customHeight="1">
      <x:c r="A219" s="4" t="n">
        <x:v>214</x:v>
      </x:c>
      <x:c r="B219" s="4" t="str">
        <x:v>freqtrade/freqtrade</x:v>
      </x:c>
      <x:c r="C219" s="4" t="n">
        <x:v>8</x:v>
      </x:c>
      <x:c r="D219" s="4" t="str">
        <x:v>数据处理与科学计算</x:v>
      </x:c>
      <x:c r="E219" s="4" t="str">
        <x:v>本地证据分类</x:v>
      </x:c>
      <x:c r="F219" s="4" t="n">
        <x:v>1</x:v>
      </x:c>
      <x:c r="G219" s="4" t="str">
        <x:v>软件项目</x:v>
      </x:c>
      <x:c r="H219" s="4" t="str">
        <x:v>数据/行业分析</x:v>
      </x:c>
      <x:c r="I219" s="4" t="str">
        <x:v>数据分析与科学计算</x:v>
      </x:c>
      <x:c r="J219" s="4" t="str">
        <x:v>Python</x:v>
      </x:c>
      <x:c r="K219" s="4" t="str">
        <x:v>未获取</x:v>
      </x:c>
      <x:c r="L219" s="4" t="str">
        <x:v>未记录</x:v>
      </x:c>
      <x:c r="M219" s="4" t="n">
        <x:v>45</x:v>
      </x:c>
      <x:c r="N219" s="4" t="n">
        <x:v>45</x:v>
      </x:c>
      <x:c r="O219" s="4" t="n">
        <x:v>34</x:v>
      </x:c>
      <x:c r="P219" s="9" t="n">
        <x:v>0.7555555555555555</x:v>
      </x:c>
      <x:c r="Q219" s="4"/>
      <x:c r="R219" s="4" t="str">
        <x:v>项目名称/框架的明确功能定位；未逐一在线核验README</x:v>
      </x:c>
      <x:c r="S219" s="4" t="str">
        <x:v>GitHub月榜24-26</x:v>
      </x:c>
      <x:c r="T219" s="4" t="n">
        <x:v>217</x:v>
      </x:c>
      <x:c r="U219" s="4" t="str">
        <x:v>https://github.com/freqtrade/freqtrade</x:v>
      </x:c>
      <x:c r="V219" s="4" t="str">
        <x:v>freqtrade/freqtrade</x:v>
      </x:c>
    </x:row>
    <x:row r="220" ht="44" customHeight="1">
      <x:c r="A220" s="4" t="n">
        <x:v>215</x:v>
      </x:c>
      <x:c r="B220" s="4" t="str">
        <x:v>geekan/HowToLiveLonger</x:v>
      </x:c>
      <x:c r="C220" s="4"/>
      <x:c r="D220" s="4" t="str">
        <x:v>未归入15类</x:v>
      </x:c>
      <x:c r="E220" s="4" t="str">
        <x:v>范围排除</x:v>
      </x:c>
      <x:c r="F220" s="4" t="n">
        <x:v>0</x:v>
      </x:c>
      <x:c r="G220" s="4" t="str">
        <x:v>教程/资源/技能资产</x:v>
      </x:c>
      <x:c r="H220" s="4" t="str">
        <x:v>知识/数据资产</x:v>
      </x:c>
      <x:c r="I220" s="4" t="str">
        <x:v>当前页面未列入</x:v>
      </x:c>
      <x:c r="J220" s="4" t="str">
        <x:v>未记录</x:v>
      </x:c>
      <x:c r="K220" s="4" t="str">
        <x:v>未获取</x:v>
      </x:c>
      <x:c r="L220" s="4" t="str">
        <x:v>未记录</x:v>
      </x:c>
      <x:c r="M220" s="4" t="n">
        <x:v>0</x:v>
      </x:c>
      <x:c r="N220" s="4"/>
      <x:c r="O220" s="4"/>
      <x:c r="P220" s="9"/>
      <x:c r="Q220" s="4"/>
      <x:c r="R220" s="4" t="str">
        <x:v>按项目名称与已获取定位识别为知识、数据或技能资源；非独立软件能力证据</x:v>
      </x:c>
      <x:c r="S220" s="4" t="str">
        <x:v>GitHub月榜24-26</x:v>
      </x:c>
      <x:c r="T220" s="4" t="n">
        <x:v>218</x:v>
      </x:c>
      <x:c r="U220" s="4" t="str">
        <x:v>https://github.com/geekan/HowToLiveLonger</x:v>
      </x:c>
      <x:c r="V220" s="4" t="str">
        <x:v>geekan/howtolivelonger</x:v>
      </x:c>
    </x:row>
    <x:row r="221" ht="44" customHeight="1">
      <x:c r="A221" s="4" t="n">
        <x:v>216</x:v>
      </x:c>
      <x:c r="B221" s="4" t="str">
        <x:v>geekan/MetaGPT</x:v>
      </x:c>
      <x:c r="C221" s="4" t="n">
        <x:v>13</x:v>
      </x:c>
      <x:c r="D221" s="4" t="str">
        <x:v>Agent编排与工具执行</x:v>
      </x:c>
      <x:c r="E221" s="4" t="str">
        <x:v>本地证据分类</x:v>
      </x:c>
      <x:c r="F221" s="4" t="n">
        <x:v>1</x:v>
      </x:c>
      <x:c r="G221" s="4" t="str">
        <x:v>软件项目</x:v>
      </x:c>
      <x:c r="H221" s="4" t="str">
        <x:v>Agent/模型与工具</x:v>
      </x:c>
      <x:c r="I221" s="4" t="str">
        <x:v>Agent 与 AI 应用</x:v>
      </x:c>
      <x:c r="J221" s="4" t="str">
        <x:v>Python</x:v>
      </x:c>
      <x:c r="K221" s="4" t="str">
        <x:v>未获取</x:v>
      </x:c>
      <x:c r="L221" s="4" t="str">
        <x:v>未记录</x:v>
      </x:c>
      <x:c r="M221" s="4" t="n">
        <x:v>67</x:v>
      </x:c>
      <x:c r="N221" s="4" t="n">
        <x:v>67</x:v>
      </x:c>
      <x:c r="O221" s="4" t="n">
        <x:v>48</x:v>
      </x:c>
      <x:c r="P221" s="9" t="n">
        <x:v>0.7164179104477612</x:v>
      </x:c>
      <x:c r="Q221" s="4"/>
      <x:c r="R221" s="4" t="str">
        <x:v>项目名称/框架的明确功能定位；未逐一在线核验README</x:v>
      </x:c>
      <x:c r="S221" s="4" t="str">
        <x:v>GitHub月榜24-26</x:v>
      </x:c>
      <x:c r="T221" s="4" t="n">
        <x:v>219</x:v>
      </x:c>
      <x:c r="U221" s="4" t="str">
        <x:v>https://github.com/geekan/MetaGPT</x:v>
      </x:c>
      <x:c r="V221" s="4" t="str">
        <x:v>geekan/metagpt</x:v>
      </x:c>
    </x:row>
    <x:row r="222" ht="44" customHeight="1">
      <x:c r="A222" s="4" t="n">
        <x:v>217</x:v>
      </x:c>
      <x:c r="B222" s="4" t="str">
        <x:v>getzep/graphiti</x:v>
      </x:c>
      <x:c r="C222" s="4" t="n">
        <x:v>13</x:v>
      </x:c>
      <x:c r="D222" s="4" t="str">
        <x:v>Agent编排与工具执行</x:v>
      </x:c>
      <x:c r="E222" s="4" t="str">
        <x:v>本地证据分类</x:v>
      </x:c>
      <x:c r="F222" s="4" t="n">
        <x:v>1</x:v>
      </x:c>
      <x:c r="G222" s="4" t="str">
        <x:v>软件项目</x:v>
      </x:c>
      <x:c r="H222" s="4" t="str">
        <x:v>Agent/模型与工具</x:v>
      </x:c>
      <x:c r="I222" s="4" t="str">
        <x:v>Agent 与 AI 应用</x:v>
      </x:c>
      <x:c r="J222" s="4" t="str">
        <x:v>Python</x:v>
      </x:c>
      <x:c r="K222" s="4" t="str">
        <x:v>未获取</x:v>
      </x:c>
      <x:c r="L222" s="4" t="str">
        <x:v>未记录</x:v>
      </x:c>
      <x:c r="M222" s="4" t="n">
        <x:v>7</x:v>
      </x:c>
      <x:c r="N222" s="4" t="n">
        <x:v>7</x:v>
      </x:c>
      <x:c r="O222" s="4" t="n">
        <x:v>5</x:v>
      </x:c>
      <x:c r="P222" s="9" t="n">
        <x:v>0.7142857142857143</x:v>
      </x:c>
      <x:c r="Q222" s="4"/>
      <x:c r="R222" s="4" t="str">
        <x:v>项目名称/框架的明确功能定位；未逐一在线核验README</x:v>
      </x:c>
      <x:c r="S222" s="4" t="str">
        <x:v>GitHub月榜24-26</x:v>
      </x:c>
      <x:c r="T222" s="4" t="n">
        <x:v>220</x:v>
      </x:c>
      <x:c r="U222" s="4" t="str">
        <x:v>https://github.com/getzep/graphiti</x:v>
      </x:c>
      <x:c r="V222" s="4" t="str">
        <x:v>getzep/graphiti</x:v>
      </x:c>
    </x:row>
    <x:row r="223" ht="44" customHeight="1">
      <x:c r="A223" s="4" t="n">
        <x:v>218</x:v>
      </x:c>
      <x:c r="B223" s="4" t="str">
        <x:v>github/awesome-copilot</x:v>
      </x:c>
      <x:c r="C223" s="4"/>
      <x:c r="D223" s="4" t="str">
        <x:v>未归入15类</x:v>
      </x:c>
      <x:c r="E223" s="4" t="str">
        <x:v>范围排除</x:v>
      </x:c>
      <x:c r="F223" s="4" t="n">
        <x:v>0</x:v>
      </x:c>
      <x:c r="G223" s="4" t="str">
        <x:v>教程/资源/技能资产</x:v>
      </x:c>
      <x:c r="H223" s="4" t="str">
        <x:v>知识/数据资产</x:v>
      </x:c>
      <x:c r="I223" s="4" t="str">
        <x:v>Agent 与 AI 应用</x:v>
      </x:c>
      <x:c r="J223" s="4" t="str">
        <x:v>JavaScript/TypeScript</x:v>
      </x:c>
      <x:c r="K223" s="4" t="str">
        <x:v>未获取</x:v>
      </x:c>
      <x:c r="L223" s="4" t="str">
        <x:v>未记录</x:v>
      </x:c>
      <x:c r="M223" s="4" t="n">
        <x:v>7</x:v>
      </x:c>
      <x:c r="N223" s="4" t="n">
        <x:v>7</x:v>
      </x:c>
      <x:c r="O223" s="4" t="n">
        <x:v>6</x:v>
      </x:c>
      <x:c r="P223" s="9" t="n">
        <x:v>0.8571428571428571</x:v>
      </x:c>
      <x:c r="Q223" s="4"/>
      <x:c r="R223" s="4" t="str">
        <x:v>按项目名称与已获取定位识别为知识、数据或技能资源；非独立软件能力证据</x:v>
      </x:c>
      <x:c r="S223" s="4" t="str">
        <x:v>GitHub月榜24-26</x:v>
      </x:c>
      <x:c r="T223" s="4" t="n">
        <x:v>221</x:v>
      </x:c>
      <x:c r="U223" s="4" t="str">
        <x:v>https://github.com/github/awesome-copilot</x:v>
      </x:c>
      <x:c r="V223" s="4" t="str">
        <x:v>github/awesome-copilot</x:v>
      </x:c>
    </x:row>
    <x:row r="224" ht="44" customHeight="1">
      <x:c r="A224" s="4" t="n">
        <x:v>219</x:v>
      </x:c>
      <x:c r="B224" s="4" t="str">
        <x:v>gkd-kit/gkd</x:v>
      </x:c>
      <x:c r="C224" s="4" t="n">
        <x:v>12</x:v>
      </x:c>
      <x:c r="D224" s="4" t="str">
        <x:v>办公软件与桌面操作自动化</x:v>
      </x:c>
      <x:c r="E224" s="4" t="str">
        <x:v>本地证据分类</x:v>
      </x:c>
      <x:c r="F224" s="4" t="n">
        <x:v>1</x:v>
      </x:c>
      <x:c r="G224" s="4" t="str">
        <x:v>软件项目</x:v>
      </x:c>
      <x:c r="H224" s="4" t="str">
        <x:v>办公/浏览器执行</x:v>
      </x:c>
      <x:c r="I224" s="4" t="str">
        <x:v>当前页面未列入</x:v>
      </x:c>
      <x:c r="J224" s="4" t="str">
        <x:v>未记录</x:v>
      </x:c>
      <x:c r="K224" s="4" t="str">
        <x:v>未获取</x:v>
      </x:c>
      <x:c r="L224" s="4" t="str">
        <x:v>未记录</x:v>
      </x:c>
      <x:c r="M224" s="4" t="n">
        <x:v>0</x:v>
      </x:c>
      <x:c r="N224" s="4"/>
      <x:c r="O224" s="4"/>
      <x:c r="P224" s="9"/>
      <x:c r="Q224" s="4"/>
      <x:c r="R224" s="4" t="str">
        <x:v>项目名称/框架的明确功能定位；未逐一在线核验README</x:v>
      </x:c>
      <x:c r="S224" s="4" t="str">
        <x:v>GitHub月榜24-26</x:v>
      </x:c>
      <x:c r="T224" s="4" t="n">
        <x:v>222</x:v>
      </x:c>
      <x:c r="U224" s="4" t="str">
        <x:v>https://github.com/gkd-kit/gkd</x:v>
      </x:c>
      <x:c r="V224" s="4" t="str">
        <x:v>gkd-kit/gkd</x:v>
      </x:c>
    </x:row>
    <x:row r="225" ht="44" customHeight="1">
      <x:c r="A225" s="4" t="n">
        <x:v>220</x:v>
      </x:c>
      <x:c r="B225" s="4" t="str">
        <x:v>goauthentik/authentik</x:v>
      </x:c>
      <x:c r="C225" s="4" t="n">
        <x:v>4</x:v>
      </x:c>
      <x:c r="D225" s="4" t="str">
        <x:v>安全与身份认证</x:v>
      </x:c>
      <x:c r="E225" s="4" t="str">
        <x:v>本地证据分类</x:v>
      </x:c>
      <x:c r="F225" s="4" t="n">
        <x:v>1</x:v>
      </x:c>
      <x:c r="G225" s="4" t="str">
        <x:v>软件项目</x:v>
      </x:c>
      <x:c r="H225" s="4" t="str">
        <x:v>安全审计</x:v>
      </x:c>
      <x:c r="I225" s="4" t="str">
        <x:v>Web 与业务服务</x:v>
      </x:c>
      <x:c r="J225" s="4" t="str">
        <x:v>Python</x:v>
      </x:c>
      <x:c r="K225" s="4" t="str">
        <x:v>未获取</x:v>
      </x:c>
      <x:c r="L225" s="4" t="str">
        <x:v>未记录</x:v>
      </x:c>
      <x:c r="M225" s="4" t="n">
        <x:v>79</x:v>
      </x:c>
      <x:c r="N225" s="4" t="n">
        <x:v>79</x:v>
      </x:c>
      <x:c r="O225" s="4" t="n">
        <x:v>51</x:v>
      </x:c>
      <x:c r="P225" s="9" t="n">
        <x:v>0.6455696202531646</x:v>
      </x:c>
      <x:c r="Q225" s="4"/>
      <x:c r="R225" s="4" t="str">
        <x:v>项目名称/框架的明确功能定位；未逐一在线核验README</x:v>
      </x:c>
      <x:c r="S225" s="4" t="str">
        <x:v>GitHub月榜24-26</x:v>
      </x:c>
      <x:c r="T225" s="4" t="n">
        <x:v>223</x:v>
      </x:c>
      <x:c r="U225" s="4" t="str">
        <x:v>https://github.com/goauthentik/authentik</x:v>
      </x:c>
      <x:c r="V225" s="4" t="str">
        <x:v>goauthentik/authentik</x:v>
      </x:c>
    </x:row>
    <x:row r="226" ht="44" customHeight="1">
      <x:c r="A226" s="4" t="n">
        <x:v>221</x:v>
      </x:c>
      <x:c r="B226" s="4" t="str">
        <x:v>google-gemini/cookbook</x:v>
      </x:c>
      <x:c r="C226" s="4"/>
      <x:c r="D226" s="4" t="str">
        <x:v>未归入15类</x:v>
      </x:c>
      <x:c r="E226" s="4" t="str">
        <x:v>范围排除</x:v>
      </x:c>
      <x:c r="F226" s="4" t="n">
        <x:v>0</x:v>
      </x:c>
      <x:c r="G226" s="4" t="str">
        <x:v>教程/资源/技能资产</x:v>
      </x:c>
      <x:c r="H226" s="4" t="str">
        <x:v>知识/数据资产</x:v>
      </x:c>
      <x:c r="I226" s="4" t="str">
        <x:v>当前页面未列入</x:v>
      </x:c>
      <x:c r="J226" s="4" t="str">
        <x:v>未记录</x:v>
      </x:c>
      <x:c r="K226" s="4" t="str">
        <x:v>未获取</x:v>
      </x:c>
      <x:c r="L226" s="4" t="str">
        <x:v>未记录</x:v>
      </x:c>
      <x:c r="M226" s="4" t="n">
        <x:v>0</x:v>
      </x:c>
      <x:c r="N226" s="4"/>
      <x:c r="O226" s="4"/>
      <x:c r="P226" s="9"/>
      <x:c r="Q226" s="4"/>
      <x:c r="R226" s="4" t="str">
        <x:v>按项目名称与已获取定位识别为知识、数据或技能资源；非独立软件能力证据</x:v>
      </x:c>
      <x:c r="S226" s="4" t="str">
        <x:v>GitHub月榜24-26</x:v>
      </x:c>
      <x:c r="T226" s="4" t="n">
        <x:v>224</x:v>
      </x:c>
      <x:c r="U226" s="4" t="str">
        <x:v>https://github.com/google-gemini/cookbook</x:v>
      </x:c>
      <x:c r="V226" s="4" t="str">
        <x:v>google-gemini/cookbook</x:v>
      </x:c>
    </x:row>
    <x:row r="227" ht="44" customHeight="1">
      <x:c r="A227" s="4" t="n">
        <x:v>222</x:v>
      </x:c>
      <x:c r="B227" s="4" t="str">
        <x:v>google-gemini/gemini-cli</x:v>
      </x:c>
      <x:c r="C227" s="4" t="n">
        <x:v>14</x:v>
      </x:c>
      <x:c r="D227" s="4" t="str">
        <x:v>软件构建、开发与测试</x:v>
      </x:c>
      <x:c r="E227" s="4" t="str">
        <x:v>本地证据分类</x:v>
      </x:c>
      <x:c r="F227" s="4" t="n">
        <x:v>1</x:v>
      </x:c>
      <x:c r="G227" s="4" t="str">
        <x:v>软件项目</x:v>
      </x:c>
      <x:c r="H227" s="4" t="str">
        <x:v>软件工程；编程Agent需额外挂13标签</x:v>
      </x:c>
      <x:c r="I227" s="4" t="str">
        <x:v>Agent 与 AI 应用</x:v>
      </x:c>
      <x:c r="J227" s="4" t="str">
        <x:v>JavaScript/TypeScript</x:v>
      </x:c>
      <x:c r="K227" s="4" t="str">
        <x:v>未获取</x:v>
      </x:c>
      <x:c r="L227" s="4" t="str">
        <x:v>未记录</x:v>
      </x:c>
      <x:c r="M227" s="4" t="n">
        <x:v>28</x:v>
      </x:c>
      <x:c r="N227" s="4" t="n">
        <x:v>28</x:v>
      </x:c>
      <x:c r="O227" s="4" t="n">
        <x:v>26</x:v>
      </x:c>
      <x:c r="P227" s="9" t="n">
        <x:v>0.9285714285714286</x:v>
      </x:c>
      <x:c r="Q227" s="4"/>
      <x:c r="R227" s="4" t="str">
        <x:v>项目名称/框架的明确功能定位；未逐一在线核验README</x:v>
      </x:c>
      <x:c r="S227" s="4" t="str">
        <x:v>GitHub月榜24-26</x:v>
      </x:c>
      <x:c r="T227" s="4" t="n">
        <x:v>225</x:v>
      </x:c>
      <x:c r="U227" s="4" t="str">
        <x:v>https://github.com/google-gemini/gemini-cli</x:v>
      </x:c>
      <x:c r="V227" s="4" t="str">
        <x:v>google-gemini/gemini-cli</x:v>
      </x:c>
    </x:row>
    <x:row r="228" ht="44" customHeight="1">
      <x:c r="A228" s="4" t="n">
        <x:v>223</x:v>
      </x:c>
      <x:c r="B228" s="4" t="str">
        <x:v>google-labs-code/design.md</x:v>
      </x:c>
      <x:c r="C228" s="4"/>
      <x:c r="D228" s="4" t="str">
        <x:v>未归入15类</x:v>
      </x:c>
      <x:c r="E228" s="4" t="str">
        <x:v>范围排除</x:v>
      </x:c>
      <x:c r="F228" s="4" t="n">
        <x:v>0</x:v>
      </x:c>
      <x:c r="G228" s="4" t="str">
        <x:v>教程/资源/技能资产</x:v>
      </x:c>
      <x:c r="H228" s="4" t="str">
        <x:v>知识/数据资产</x:v>
      </x:c>
      <x:c r="I228" s="4" t="str">
        <x:v>行业与其他应用</x:v>
      </x:c>
      <x:c r="J228" s="4" t="str">
        <x:v>JavaScript/TypeScript</x:v>
      </x:c>
      <x:c r="K228" s="4" t="str">
        <x:v>未获取</x:v>
      </x:c>
      <x:c r="L228" s="4" t="str">
        <x:v>未记录</x:v>
      </x:c>
      <x:c r="M228" s="4" t="n">
        <x:v>1</x:v>
      </x:c>
      <x:c r="N228" s="4" t="n">
        <x:v>1</x:v>
      </x:c>
      <x:c r="O228" s="4" t="n">
        <x:v>1</x:v>
      </x:c>
      <x:c r="P228" s="9" t="n">
        <x:v>1</x:v>
      </x:c>
      <x:c r="Q228" s="4"/>
      <x:c r="R228" s="4" t="str">
        <x:v>按项目名称与已获取定位识别为知识、数据或技能资源；非独立软件能力证据</x:v>
      </x:c>
      <x:c r="S228" s="4" t="str">
        <x:v>GitHub月榜24-26</x:v>
      </x:c>
      <x:c r="T228" s="4" t="n">
        <x:v>226</x:v>
      </x:c>
      <x:c r="U228" s="4" t="str">
        <x:v>https://github.com/google-labs-code/design.md</x:v>
      </x:c>
      <x:c r="V228" s="4" t="str">
        <x:v>google-labs-code/design.md</x:v>
      </x:c>
    </x:row>
    <x:row r="229" ht="44" customHeight="1">
      <x:c r="A229" s="4" t="n">
        <x:v>224</x:v>
      </x:c>
      <x:c r="B229" s="4" t="str">
        <x:v>google-research/timesfm</x:v>
      </x:c>
      <x:c r="C229" s="4" t="n">
        <x:v>11</x:v>
      </x:c>
      <x:c r="D229" s="4" t="str">
        <x:v>AI模型与机器学习</x:v>
      </x:c>
      <x:c r="E229" s="4" t="str">
        <x:v>本地证据分类</x:v>
      </x:c>
      <x:c r="F229" s="4" t="n">
        <x:v>1</x:v>
      </x:c>
      <x:c r="G229" s="4" t="str">
        <x:v>软件项目</x:v>
      </x:c>
      <x:c r="H229" s="4" t="str">
        <x:v>AI模型/推理</x:v>
      </x:c>
      <x:c r="I229" s="4" t="str">
        <x:v>数据分析与科学计算</x:v>
      </x:c>
      <x:c r="J229" s="4" t="str">
        <x:v>Python</x:v>
      </x:c>
      <x:c r="K229" s="4" t="str">
        <x:v>未获取</x:v>
      </x:c>
      <x:c r="L229" s="4" t="str">
        <x:v>未记录</x:v>
      </x:c>
      <x:c r="M229" s="4" t="n">
        <x:v>3</x:v>
      </x:c>
      <x:c r="N229" s="4" t="n">
        <x:v>3</x:v>
      </x:c>
      <x:c r="O229" s="4" t="n">
        <x:v>3</x:v>
      </x:c>
      <x:c r="P229" s="9" t="n">
        <x:v>1</x:v>
      </x:c>
      <x:c r="Q229" s="4"/>
      <x:c r="R229" s="4" t="str">
        <x:v>项目名称/框架的明确功能定位；未逐一在线核验README</x:v>
      </x:c>
      <x:c r="S229" s="4" t="str">
        <x:v>GitHub月榜24-26</x:v>
      </x:c>
      <x:c r="T229" s="4" t="n">
        <x:v>227</x:v>
      </x:c>
      <x:c r="U229" s="4" t="str">
        <x:v>https://github.com/google-research/timesfm</x:v>
      </x:c>
      <x:c r="V229" s="4" t="str">
        <x:v>google-research/timesfm</x:v>
      </x:c>
    </x:row>
    <x:row r="230" ht="44" customHeight="1">
      <x:c r="A230" s="4" t="n">
        <x:v>225</x:v>
      </x:c>
      <x:c r="B230" s="4" t="str">
        <x:v>google/langextract</x:v>
      </x:c>
      <x:c r="C230" s="4" t="n">
        <x:v>11</x:v>
      </x:c>
      <x:c r="D230" s="4" t="str">
        <x:v>AI模型与机器学习</x:v>
      </x:c>
      <x:c r="E230" s="4" t="str">
        <x:v>本地证据分类</x:v>
      </x:c>
      <x:c r="F230" s="4" t="n">
        <x:v>1</x:v>
      </x:c>
      <x:c r="G230" s="4" t="str">
        <x:v>软件项目</x:v>
      </x:c>
      <x:c r="H230" s="4" t="str">
        <x:v>模型/OCR/多模态</x:v>
      </x:c>
      <x:c r="I230" s="4" t="str">
        <x:v>数据分析与科学计算</x:v>
      </x:c>
      <x:c r="J230" s="4" t="str">
        <x:v>Python</x:v>
      </x:c>
      <x:c r="K230" s="4" t="str">
        <x:v>未获取</x:v>
      </x:c>
      <x:c r="L230" s="4" t="str">
        <x:v>未记录</x:v>
      </x:c>
      <x:c r="M230" s="4" t="n">
        <x:v>16</x:v>
      </x:c>
      <x:c r="N230" s="4" t="n">
        <x:v>16</x:v>
      </x:c>
      <x:c r="O230" s="4" t="n">
        <x:v>13</x:v>
      </x:c>
      <x:c r="P230" s="9" t="n">
        <x:v>0.8125</x:v>
      </x:c>
      <x:c r="Q230" s="4"/>
      <x:c r="R230" s="4" t="str">
        <x:v>项目名称/框架的明确功能定位；未逐一在线核验README</x:v>
      </x:c>
      <x:c r="S230" s="4" t="str">
        <x:v>GitHub月榜24-26</x:v>
      </x:c>
      <x:c r="T230" s="4" t="n">
        <x:v>228</x:v>
      </x:c>
      <x:c r="U230" s="4" t="str">
        <x:v>https://github.com/google/langextract</x:v>
      </x:c>
      <x:c r="V230" s="4" t="str">
        <x:v>google/langextract</x:v>
      </x:c>
    </x:row>
    <x:row r="231" ht="44" customHeight="1">
      <x:c r="A231" s="4" t="n">
        <x:v>226</x:v>
      </x:c>
      <x:c r="B231" s="4" t="str">
        <x:v>googleapis/genai-toolbox</x:v>
      </x:c>
      <x:c r="C231" s="4" t="n">
        <x:v>13</x:v>
      </x:c>
      <x:c r="D231" s="4" t="str">
        <x:v>Agent编排与工具执行</x:v>
      </x:c>
      <x:c r="E231" s="4" t="str">
        <x:v>本地证据分类</x:v>
      </x:c>
      <x:c r="F231" s="4" t="n">
        <x:v>1</x:v>
      </x:c>
      <x:c r="G231" s="4" t="str">
        <x:v>软件项目</x:v>
      </x:c>
      <x:c r="H231" s="4" t="str">
        <x:v>Agent/模型与工具</x:v>
      </x:c>
      <x:c r="I231" s="4" t="str">
        <x:v>数据库、存储与中间件</x:v>
      </x:c>
      <x:c r="J231" s="4" t="str">
        <x:v>Go</x:v>
      </x:c>
      <x:c r="K231" s="4" t="str">
        <x:v>未获取</x:v>
      </x:c>
      <x:c r="L231" s="4" t="str">
        <x:v>未记录</x:v>
      </x:c>
      <x:c r="M231" s="4" t="n">
        <x:v>281</x:v>
      </x:c>
      <x:c r="N231" s="4" t="n">
        <x:v>281</x:v>
      </x:c>
      <x:c r="O231" s="4" t="n">
        <x:v>0</x:v>
      </x:c>
      <x:c r="P231" s="9" t="n">
        <x:v>0</x:v>
      </x:c>
      <x:c r="Q231" s="4"/>
      <x:c r="R231" s="4" t="str">
        <x:v>项目名称/框架的明确功能定位；未逐一在线核验README</x:v>
      </x:c>
      <x:c r="S231" s="4" t="str">
        <x:v>GitHub月榜24-26</x:v>
      </x:c>
      <x:c r="T231" s="4" t="n">
        <x:v>229</x:v>
      </x:c>
      <x:c r="U231" s="4" t="str">
        <x:v>https://github.com/googleapis/genai-toolbox</x:v>
      </x:c>
      <x:c r="V231" s="4" t="str">
        <x:v>googleapis/genai-toolbox</x:v>
      </x:c>
    </x:row>
    <x:row r="232" ht="44" customHeight="1">
      <x:c r="A232" s="4" t="n">
        <x:v>227</x:v>
      </x:c>
      <x:c r="B232" s="4" t="str">
        <x:v>gorhill/uBlock</x:v>
      </x:c>
      <x:c r="C232" s="4" t="n">
        <x:v>3</x:v>
      </x:c>
      <x:c r="D232" s="4" t="str">
        <x:v>网络与通信协议</x:v>
      </x:c>
      <x:c r="E232" s="4" t="str">
        <x:v>本地证据分类</x:v>
      </x:c>
      <x:c r="F232" s="4" t="n">
        <x:v>1</x:v>
      </x:c>
      <x:c r="G232" s="4" t="str">
        <x:v>软件项目</x:v>
      </x:c>
      <x:c r="H232" s="4" t="str">
        <x:v>网络通信</x:v>
      </x:c>
      <x:c r="I232" s="4" t="str">
        <x:v>当前页面未列入</x:v>
      </x:c>
      <x:c r="J232" s="4" t="str">
        <x:v>未记录</x:v>
      </x:c>
      <x:c r="K232" s="4" t="str">
        <x:v>未获取</x:v>
      </x:c>
      <x:c r="L232" s="4" t="str">
        <x:v>未记录</x:v>
      </x:c>
      <x:c r="M232" s="4" t="n">
        <x:v>0</x:v>
      </x:c>
      <x:c r="N232" s="4"/>
      <x:c r="O232" s="4"/>
      <x:c r="P232" s="9"/>
      <x:c r="Q232" s="4"/>
      <x:c r="R232" s="4" t="str">
        <x:v>项目名称/框架的明确功能定位；未逐一在线核验README</x:v>
      </x:c>
      <x:c r="S232" s="4" t="str">
        <x:v>GitHub月榜24-26</x:v>
      </x:c>
      <x:c r="T232" s="4" t="n">
        <x:v>230</x:v>
      </x:c>
      <x:c r="U232" s="4" t="str">
        <x:v>https://github.com/gorhill/uBlock</x:v>
      </x:c>
      <x:c r="V232" s="4" t="str">
        <x:v>gorhill/ublock</x:v>
      </x:c>
    </x:row>
    <x:row r="233" ht="44" customHeight="1">
      <x:c r="A233" s="4" t="n">
        <x:v>228</x:v>
      </x:c>
      <x:c r="B233" s="4" t="str">
        <x:v>gradio-app/gradio</x:v>
      </x:c>
      <x:c r="C233" s="4" t="n">
        <x:v>7</x:v>
      </x:c>
      <x:c r="D233" s="4" t="str">
        <x:v>用户界面与交互</x:v>
      </x:c>
      <x:c r="E233" s="4" t="str">
        <x:v>本地证据分类</x:v>
      </x:c>
      <x:c r="F233" s="4" t="n">
        <x:v>1</x:v>
      </x:c>
      <x:c r="G233" s="4" t="str">
        <x:v>软件项目</x:v>
      </x:c>
      <x:c r="H233" s="4" t="str">
        <x:v>UI框架</x:v>
      </x:c>
      <x:c r="I233" s="4" t="str">
        <x:v>当前页面未列入</x:v>
      </x:c>
      <x:c r="J233" s="4" t="str">
        <x:v>未记录</x:v>
      </x:c>
      <x:c r="K233" s="4" t="str">
        <x:v>未获取</x:v>
      </x:c>
      <x:c r="L233" s="4" t="str">
        <x:v>未记录</x:v>
      </x:c>
      <x:c r="M233" s="4" t="n">
        <x:v>0</x:v>
      </x:c>
      <x:c r="N233" s="4"/>
      <x:c r="O233" s="4"/>
      <x:c r="P233" s="9"/>
      <x:c r="Q233" s="4"/>
      <x:c r="R233" s="4" t="str">
        <x:v>项目名称/框架的明确功能定位；未逐一在线核验README</x:v>
      </x:c>
      <x:c r="S233" s="4" t="str">
        <x:v>GitHub月榜24-26</x:v>
      </x:c>
      <x:c r="T233" s="4" t="n">
        <x:v>231</x:v>
      </x:c>
      <x:c r="U233" s="4" t="str">
        <x:v>https://github.com/gradio-app/gradio</x:v>
      </x:c>
      <x:c r="V233" s="4" t="str">
        <x:v>gradio-app/gradio</x:v>
      </x:c>
    </x:row>
    <x:row r="234" ht="44" customHeight="1">
      <x:c r="A234" s="4" t="n">
        <x:v>229</x:v>
      </x:c>
      <x:c r="B234" s="4" t="str">
        <x:v>gsd-build/get-shit-done</x:v>
      </x:c>
      <x:c r="C234" s="4"/>
      <x:c r="D234" s="4" t="str">
        <x:v>未归入15类</x:v>
      </x:c>
      <x:c r="E234" s="4" t="str">
        <x:v>信息不足</x:v>
      </x:c>
      <x:c r="F234" s="4" t="n">
        <x:v>1</x:v>
      </x:c>
      <x:c r="G234" s="4" t="str">
        <x:v>待确认项目</x:v>
      </x:c>
      <x:c r="H234" s="4" t="str"/>
      <x:c r="I234" s="4" t="str">
        <x:v>当前页面未列入</x:v>
      </x:c>
      <x:c r="J234" s="4" t="str">
        <x:v>未记录</x:v>
      </x:c>
      <x:c r="K234" s="4" t="str">
        <x:v>未获取</x:v>
      </x:c>
      <x:c r="L234" s="4" t="str">
        <x:v>未记录</x:v>
      </x:c>
      <x:c r="M234" s="4" t="n">
        <x:v>0</x:v>
      </x:c>
      <x:c r="N234" s="4"/>
      <x:c r="O234" s="4"/>
      <x:c r="P234" s="9"/>
      <x:c r="Q234" s="4"/>
      <x:c r="R234" s="4" t="str">
        <x:v>缺少明确功能描述，不按依赖或语言强行归类</x:v>
      </x:c>
      <x:c r="S234" s="4" t="str">
        <x:v>GitHub月榜24-26</x:v>
      </x:c>
      <x:c r="T234" s="4" t="n">
        <x:v>232</x:v>
      </x:c>
      <x:c r="U234" s="4" t="str">
        <x:v>https://github.com/gsd-build/get-shit-done</x:v>
      </x:c>
      <x:c r="V234" s="4" t="str">
        <x:v>gsd-build/get-shit-done</x:v>
      </x:c>
    </x:row>
    <x:row r="235" ht="44" customHeight="1">
      <x:c r="A235" s="4" t="n">
        <x:v>230</x:v>
      </x:c>
      <x:c r="B235" s="4" t="str">
        <x:v>guillaumemeyer/watermarks-remover</x:v>
      </x:c>
      <x:c r="C235" s="4"/>
      <x:c r="D235" s="4" t="str">
        <x:v>未归入15类</x:v>
      </x:c>
      <x:c r="E235" s="4" t="str">
        <x:v>信息不足</x:v>
      </x:c>
      <x:c r="F235" s="4" t="n">
        <x:v>1</x:v>
      </x:c>
      <x:c r="G235" s="4" t="str">
        <x:v>待确认项目</x:v>
      </x:c>
      <x:c r="H235" s="4" t="str"/>
      <x:c r="I235" s="4" t="str">
        <x:v>当前页面未列入</x:v>
      </x:c>
      <x:c r="J235" s="4" t="str">
        <x:v>未记录</x:v>
      </x:c>
      <x:c r="K235" s="4" t="str">
        <x:v>未获取</x:v>
      </x:c>
      <x:c r="L235" s="4" t="str">
        <x:v>未记录</x:v>
      </x:c>
      <x:c r="M235" s="4" t="n">
        <x:v>0</x:v>
      </x:c>
      <x:c r="N235" s="4"/>
      <x:c r="O235" s="4"/>
      <x:c r="P235" s="9"/>
      <x:c r="Q235" s="4"/>
      <x:c r="R235" s="4" t="str">
        <x:v>缺少明确功能描述，不按依赖或语言强行归类</x:v>
      </x:c>
      <x:c r="S235" s="4" t="str">
        <x:v>GitHub月榜24-26</x:v>
      </x:c>
      <x:c r="T235" s="4" t="n">
        <x:v>233</x:v>
      </x:c>
      <x:c r="U235" s="4" t="str">
        <x:v>https://github.com/guillaumemeyer/watermarks-remover</x:v>
      </x:c>
      <x:c r="V235" s="4" t="str">
        <x:v>guillaumemeyer/watermarks-remover</x:v>
      </x:c>
    </x:row>
    <x:row r="236" ht="44" customHeight="1">
      <x:c r="A236" s="4" t="n">
        <x:v>231</x:v>
      </x:c>
      <x:c r="B236" s="4" t="str">
        <x:v>hagezi/dns-blocklists</x:v>
      </x:c>
      <x:c r="C236" s="4"/>
      <x:c r="D236" s="4" t="str">
        <x:v>未归入15类</x:v>
      </x:c>
      <x:c r="E236" s="4" t="str">
        <x:v>范围排除</x:v>
      </x:c>
      <x:c r="F236" s="4" t="n">
        <x:v>0</x:v>
      </x:c>
      <x:c r="G236" s="4" t="str">
        <x:v>教程/资源/技能资产</x:v>
      </x:c>
      <x:c r="H236" s="4" t="str">
        <x:v>知识/数据资产</x:v>
      </x:c>
      <x:c r="I236" s="4" t="str">
        <x:v>当前页面未列入</x:v>
      </x:c>
      <x:c r="J236" s="4" t="str">
        <x:v>未记录</x:v>
      </x:c>
      <x:c r="K236" s="4" t="str">
        <x:v>未获取</x:v>
      </x:c>
      <x:c r="L236" s="4" t="str">
        <x:v>未记录</x:v>
      </x:c>
      <x:c r="M236" s="4" t="n">
        <x:v>0</x:v>
      </x:c>
      <x:c r="N236" s="4"/>
      <x:c r="O236" s="4"/>
      <x:c r="P236" s="9"/>
      <x:c r="Q236" s="4"/>
      <x:c r="R236" s="4" t="str">
        <x:v>按项目名称与已获取定位识别为知识、数据或技能资源；非独立软件能力证据</x:v>
      </x:c>
      <x:c r="S236" s="4" t="str">
        <x:v>GitHub月榜24-26</x:v>
      </x:c>
      <x:c r="T236" s="4" t="n">
        <x:v>234</x:v>
      </x:c>
      <x:c r="U236" s="4" t="str">
        <x:v>https://github.com/hagezi/dns-blocklists</x:v>
      </x:c>
      <x:c r="V236" s="4" t="str">
        <x:v>hagezi/dns-blocklists</x:v>
      </x:c>
    </x:row>
    <x:row r="237" ht="44" customHeight="1">
      <x:c r="A237" s="4" t="n">
        <x:v>232</x:v>
      </x:c>
      <x:c r="B237" s="4" t="str">
        <x:v>harry0703/MoneyPrinterTurbo</x:v>
      </x:c>
      <x:c r="C237" s="4" t="n">
        <x:v>9</x:v>
      </x:c>
      <x:c r="D237" s="4" t="str">
        <x:v>图形、多媒体与实时应用</x:v>
      </x:c>
      <x:c r="E237" s="4" t="str">
        <x:v>元数据已核验</x:v>
      </x:c>
      <x:c r="F237" s="4" t="n">
        <x:v>1</x:v>
      </x:c>
      <x:c r="G237" s="4" t="str">
        <x:v>软件项目</x:v>
      </x:c>
      <x:c r="H237" s="4" t="str">
        <x:v>媒体/图形</x:v>
      </x:c>
      <x:c r="I237" s="4" t="str">
        <x:v>Agent 与 AI 应用</x:v>
      </x:c>
      <x:c r="J237" s="4" t="str">
        <x:v>Python</x:v>
      </x:c>
      <x:c r="K237" s="4" t="str">
        <x:v>Python</x:v>
      </x:c>
      <x:c r="L237" s="4" t="str">
        <x:v>未记录</x:v>
      </x:c>
      <x:c r="M237" s="4" t="n">
        <x:v>21</x:v>
      </x:c>
      <x:c r="N237" s="4" t="n">
        <x:v>21</x:v>
      </x:c>
      <x:c r="O237" s="4" t="n">
        <x:v>11</x:v>
      </x:c>
      <x:c r="P237" s="9" t="n">
        <x:v>0.5238095238095238</x:v>
      </x:c>
      <x:c r="Q237" s="4"/>
      <x:c r="R237" s="4" t="str">
        <x:v>项目定位与GitHub描述人工对照</x:v>
      </x:c>
      <x:c r="S237" s="4" t="str">
        <x:v>GitHub月榜24-26</x:v>
      </x:c>
      <x:c r="T237" s="4" t="n">
        <x:v>235</x:v>
      </x:c>
      <x:c r="U237" s="4" t="str">
        <x:v>https://github.com/harry0703/MoneyPrinterTurbo</x:v>
      </x:c>
      <x:c r="V237" s="4" t="str">
        <x:v>harry0703/moneyprinterturbo</x:v>
      </x:c>
    </x:row>
    <x:row r="238" ht="44" customHeight="1">
      <x:c r="A238" s="4" t="n">
        <x:v>233</x:v>
      </x:c>
      <x:c r="B238" s="4" t="str">
        <x:v>hasaneyldrm/exercises-dataset</x:v>
      </x:c>
      <x:c r="C238" s="4"/>
      <x:c r="D238" s="4" t="str">
        <x:v>未归入15类</x:v>
      </x:c>
      <x:c r="E238" s="4" t="str">
        <x:v>范围排除</x:v>
      </x:c>
      <x:c r="F238" s="4" t="n">
        <x:v>0</x:v>
      </x:c>
      <x:c r="G238" s="4" t="str">
        <x:v>教程/资源/技能资产</x:v>
      </x:c>
      <x:c r="H238" s="4" t="str">
        <x:v>知识/数据资产</x:v>
      </x:c>
      <x:c r="I238" s="4" t="str">
        <x:v>当前页面未列入</x:v>
      </x:c>
      <x:c r="J238" s="4" t="str">
        <x:v>未记录</x:v>
      </x:c>
      <x:c r="K238" s="4" t="str">
        <x:v>未获取</x:v>
      </x:c>
      <x:c r="L238" s="4" t="str">
        <x:v>未记录</x:v>
      </x:c>
      <x:c r="M238" s="4" t="n">
        <x:v>0</x:v>
      </x:c>
      <x:c r="N238" s="4"/>
      <x:c r="O238" s="4"/>
      <x:c r="P238" s="9"/>
      <x:c r="Q238" s="4"/>
      <x:c r="R238" s="4" t="str">
        <x:v>按项目名称与已获取定位识别为知识、数据或技能资源；非独立软件能力证据</x:v>
      </x:c>
      <x:c r="S238" s="4" t="str">
        <x:v>GitHub月榜24-26</x:v>
      </x:c>
      <x:c r="T238" s="4" t="n">
        <x:v>236</x:v>
      </x:c>
      <x:c r="U238" s="4" t="str">
        <x:v>https://github.com/hasaneyldrm/exercises-dataset</x:v>
      </x:c>
      <x:c r="V238" s="4" t="str">
        <x:v>hasaneyldrm/exercises-dataset</x:v>
      </x:c>
    </x:row>
    <x:row r="239" ht="44" customHeight="1">
      <x:c r="A239" s="4" t="n">
        <x:v>234</x:v>
      </x:c>
      <x:c r="B239" s="4" t="str">
        <x:v>hiroi-sora/Umi-OCR</x:v>
      </x:c>
      <x:c r="C239" s="4" t="n">
        <x:v>11</x:v>
      </x:c>
      <x:c r="D239" s="4" t="str">
        <x:v>AI模型与机器学习</x:v>
      </x:c>
      <x:c r="E239" s="4" t="str">
        <x:v>本地证据分类</x:v>
      </x:c>
      <x:c r="F239" s="4" t="n">
        <x:v>1</x:v>
      </x:c>
      <x:c r="G239" s="4" t="str">
        <x:v>软件项目</x:v>
      </x:c>
      <x:c r="H239" s="4" t="str">
        <x:v>AI模型/推理</x:v>
      </x:c>
      <x:c r="I239" s="4" t="str">
        <x:v>当前页面未列入</x:v>
      </x:c>
      <x:c r="J239" s="4" t="str">
        <x:v>未记录</x:v>
      </x:c>
      <x:c r="K239" s="4" t="str">
        <x:v>未获取</x:v>
      </x:c>
      <x:c r="L239" s="4" t="str">
        <x:v>未记录</x:v>
      </x:c>
      <x:c r="M239" s="4" t="n">
        <x:v>0</x:v>
      </x:c>
      <x:c r="N239" s="4"/>
      <x:c r="O239" s="4"/>
      <x:c r="P239" s="9"/>
      <x:c r="Q239" s="4"/>
      <x:c r="R239" s="4" t="str">
        <x:v>项目名称/框架的明确功能定位；未逐一在线核验README</x:v>
      </x:c>
      <x:c r="S239" s="4" t="str">
        <x:v>GitHub月榜24-26</x:v>
      </x:c>
      <x:c r="T239" s="4" t="n">
        <x:v>237</x:v>
      </x:c>
      <x:c r="U239" s="4" t="str">
        <x:v>https://github.com/hiroi-sora/Umi-OCR</x:v>
      </x:c>
      <x:c r="V239" s="4" t="str">
        <x:v>hiroi-sora/umi-ocr</x:v>
      </x:c>
    </x:row>
    <x:row r="240" ht="44" customHeight="1">
      <x:c r="A240" s="4" t="n">
        <x:v>235</x:v>
      </x:c>
      <x:c r="B240" s="4" t="str">
        <x:v>hoarder-app/hoarder</x:v>
      </x:c>
      <x:c r="C240" s="4" t="n">
        <x:v>10</x:v>
      </x:c>
      <x:c r="D240" s="4" t="str">
        <x:v>文档与办公数据处理</x:v>
      </x:c>
      <x:c r="E240" s="4" t="str">
        <x:v>本地证据分类</x:v>
      </x:c>
      <x:c r="F240" s="4" t="n">
        <x:v>1</x:v>
      </x:c>
      <x:c r="G240" s="4" t="str">
        <x:v>软件项目</x:v>
      </x:c>
      <x:c r="H240" s="4" t="str">
        <x:v>文档/知识内容</x:v>
      </x:c>
      <x:c r="I240" s="4" t="str">
        <x:v>行业与其他应用</x:v>
      </x:c>
      <x:c r="J240" s="4" t="str">
        <x:v>JavaScript/TypeScript</x:v>
      </x:c>
      <x:c r="K240" s="4" t="str">
        <x:v>未获取</x:v>
      </x:c>
      <x:c r="L240" s="4" t="str">
        <x:v>未记录</x:v>
      </x:c>
      <x:c r="M240" s="4" t="n">
        <x:v>3</x:v>
      </x:c>
      <x:c r="N240" s="4" t="n">
        <x:v>3</x:v>
      </x:c>
      <x:c r="O240" s="4" t="n">
        <x:v>0</x:v>
      </x:c>
      <x:c r="P240" s="9" t="n">
        <x:v>0</x:v>
      </x:c>
      <x:c r="Q240" s="4"/>
      <x:c r="R240" s="4" t="str">
        <x:v>项目名称/框架的明确功能定位；未逐一在线核验README</x:v>
      </x:c>
      <x:c r="S240" s="4" t="str">
        <x:v>GitHub月榜24-26</x:v>
      </x:c>
      <x:c r="T240" s="4" t="n">
        <x:v>238</x:v>
      </x:c>
      <x:c r="U240" s="4" t="str">
        <x:v>https://github.com/hoarder-app/hoarder</x:v>
      </x:c>
      <x:c r="V240" s="4" t="str">
        <x:v>hoarder-app/hoarder</x:v>
      </x:c>
    </x:row>
    <x:row r="241" ht="44" customHeight="1">
      <x:c r="A241" s="4" t="n">
        <x:v>236</x:v>
      </x:c>
      <x:c r="B241" s="4" t="str">
        <x:v>honojs/hono</x:v>
      </x:c>
      <x:c r="C241" s="4" t="n">
        <x:v>6</x:v>
      </x:c>
      <x:c r="D241" s="4" t="str">
        <x:v>后端服务与业务流程</x:v>
      </x:c>
      <x:c r="E241" s="4" t="str">
        <x:v>本地证据分类</x:v>
      </x:c>
      <x:c r="F241" s="4" t="n">
        <x:v>1</x:v>
      </x:c>
      <x:c r="G241" s="4" t="str">
        <x:v>软件项目</x:v>
      </x:c>
      <x:c r="H241" s="4" t="str">
        <x:v>业务应用/确定性工作流</x:v>
      </x:c>
      <x:c r="I241" s="4" t="str">
        <x:v>开发工具与工程效率</x:v>
      </x:c>
      <x:c r="J241" s="4" t="str">
        <x:v>JavaScript/TypeScript</x:v>
      </x:c>
      <x:c r="K241" s="4" t="str">
        <x:v>未获取</x:v>
      </x:c>
      <x:c r="L241" s="4" t="str">
        <x:v>未记录</x:v>
      </x:c>
      <x:c r="M241" s="4" t="n">
        <x:v>15</x:v>
      </x:c>
      <x:c r="N241" s="4" t="n">
        <x:v>15</x:v>
      </x:c>
      <x:c r="O241" s="4" t="n">
        <x:v>10</x:v>
      </x:c>
      <x:c r="P241" s="9" t="n">
        <x:v>0.6666666666666666</x:v>
      </x:c>
      <x:c r="Q241" s="4"/>
      <x:c r="R241" s="4" t="str">
        <x:v>项目名称/框架的明确功能定位；未逐一在线核验README</x:v>
      </x:c>
      <x:c r="S241" s="4" t="str">
        <x:v>GitHub月榜24-26</x:v>
      </x:c>
      <x:c r="T241" s="4" t="n">
        <x:v>239</x:v>
      </x:c>
      <x:c r="U241" s="4" t="str">
        <x:v>https://github.com/honojs/hono</x:v>
      </x:c>
      <x:c r="V241" s="4" t="str">
        <x:v>honojs/hono</x:v>
      </x:c>
    </x:row>
    <x:row r="242" ht="44" customHeight="1">
      <x:c r="A242" s="4" t="n">
        <x:v>237</x:v>
      </x:c>
      <x:c r="B242" s="4" t="str">
        <x:v>hoppscotch/hoppscotch</x:v>
      </x:c>
      <x:c r="C242" s="4" t="n">
        <x:v>14</x:v>
      </x:c>
      <x:c r="D242" s="4" t="str">
        <x:v>软件构建、开发与测试</x:v>
      </x:c>
      <x:c r="E242" s="4" t="str">
        <x:v>本地证据分类</x:v>
      </x:c>
      <x:c r="F242" s="4" t="n">
        <x:v>1</x:v>
      </x:c>
      <x:c r="G242" s="4" t="str">
        <x:v>软件项目</x:v>
      </x:c>
      <x:c r="H242" s="4" t="str">
        <x:v>软件工程；编程Agent需额外挂13标签</x:v>
      </x:c>
      <x:c r="I242" s="4" t="str">
        <x:v>行业与其他应用</x:v>
      </x:c>
      <x:c r="J242" s="4" t="str">
        <x:v>JavaScript/TypeScript</x:v>
      </x:c>
      <x:c r="K242" s="4" t="str">
        <x:v>未获取</x:v>
      </x:c>
      <x:c r="L242" s="4" t="str">
        <x:v>未记录</x:v>
      </x:c>
      <x:c r="M242" s="4" t="n">
        <x:v>2</x:v>
      </x:c>
      <x:c r="N242" s="4" t="n">
        <x:v>2</x:v>
      </x:c>
      <x:c r="O242" s="4" t="n">
        <x:v>1</x:v>
      </x:c>
      <x:c r="P242" s="9" t="n">
        <x:v>0.5</x:v>
      </x:c>
      <x:c r="Q242" s="4"/>
      <x:c r="R242" s="4" t="str">
        <x:v>项目名称/框架的明确功能定位；未逐一在线核验README</x:v>
      </x:c>
      <x:c r="S242" s="4" t="str">
        <x:v>GitHub月榜24-26</x:v>
      </x:c>
      <x:c r="T242" s="4" t="n">
        <x:v>240</x:v>
      </x:c>
      <x:c r="U242" s="4" t="str">
        <x:v>https://github.com/hoppscotch/hoppscotch</x:v>
      </x:c>
      <x:c r="V242" s="4" t="str">
        <x:v>hoppscotch/hoppscotch</x:v>
      </x:c>
    </x:row>
    <x:row r="243" ht="44" customHeight="1">
      <x:c r="A243" s="4" t="n">
        <x:v>238</x:v>
      </x:c>
      <x:c r="B243" s="4" t="str">
        <x:v>hpcaitech/Open-Sora</x:v>
      </x:c>
      <x:c r="C243" s="4" t="n">
        <x:v>11</x:v>
      </x:c>
      <x:c r="D243" s="4" t="str">
        <x:v>AI模型与机器学习</x:v>
      </x:c>
      <x:c r="E243" s="4" t="str">
        <x:v>本地证据分类</x:v>
      </x:c>
      <x:c r="F243" s="4" t="n">
        <x:v>1</x:v>
      </x:c>
      <x:c r="G243" s="4" t="str">
        <x:v>软件项目</x:v>
      </x:c>
      <x:c r="H243" s="4" t="str">
        <x:v>AI模型/推理</x:v>
      </x:c>
      <x:c r="I243" s="4" t="str">
        <x:v>Agent 与 AI 应用</x:v>
      </x:c>
      <x:c r="J243" s="4" t="str">
        <x:v>Python</x:v>
      </x:c>
      <x:c r="K243" s="4" t="str">
        <x:v>未获取</x:v>
      </x:c>
      <x:c r="L243" s="4" t="str">
        <x:v>未记录</x:v>
      </x:c>
      <x:c r="M243" s="4" t="n">
        <x:v>15</x:v>
      </x:c>
      <x:c r="N243" s="4" t="n">
        <x:v>15</x:v>
      </x:c>
      <x:c r="O243" s="4" t="n">
        <x:v>8</x:v>
      </x:c>
      <x:c r="P243" s="9" t="n">
        <x:v>0.5333333333333333</x:v>
      </x:c>
      <x:c r="Q243" s="4"/>
      <x:c r="R243" s="4" t="str">
        <x:v>项目名称/框架的明确功能定位；未逐一在线核验README</x:v>
      </x:c>
      <x:c r="S243" s="4" t="str">
        <x:v>GitHub月榜24-26</x:v>
      </x:c>
      <x:c r="T243" s="4" t="n">
        <x:v>241</x:v>
      </x:c>
      <x:c r="U243" s="4" t="str">
        <x:v>https://github.com/hpcaitech/Open-Sora</x:v>
      </x:c>
      <x:c r="V243" s="4" t="str">
        <x:v>hpcaitech/open-sora</x:v>
      </x:c>
    </x:row>
    <x:row r="244" ht="44" customHeight="1">
      <x:c r="A244" s="4" t="n">
        <x:v>239</x:v>
      </x:c>
      <x:c r="B244" s="4" t="str">
        <x:v>huggingface/lerobot</x:v>
      </x:c>
      <x:c r="C244" s="4"/>
      <x:c r="D244" s="4" t="str">
        <x:v>未归入15类</x:v>
      </x:c>
      <x:c r="E244" s="4" t="str">
        <x:v>范围待决</x:v>
      </x:c>
      <x:c r="F244" s="4" t="n">
        <x:v>1</x:v>
      </x:c>
      <x:c r="G244" s="4" t="str">
        <x:v>软件项目</x:v>
      </x:c>
      <x:c r="H244" s="4" t="str">
        <x:v>IoT/机器人/工业控制</x:v>
      </x:c>
      <x:c r="I244" s="4" t="str">
        <x:v>多媒体与图形</x:v>
      </x:c>
      <x:c r="J244" s="4" t="str">
        <x:v>Python</x:v>
      </x:c>
      <x:c r="K244" s="4" t="str">
        <x:v>未获取</x:v>
      </x:c>
      <x:c r="L244" s="4" t="str">
        <x:v>未记录</x:v>
      </x:c>
      <x:c r="M244" s="4" t="n">
        <x:v>15</x:v>
      </x:c>
      <x:c r="N244" s="4" t="n">
        <x:v>15</x:v>
      </x:c>
      <x:c r="O244" s="4" t="n">
        <x:v>14</x:v>
      </x:c>
      <x:c r="P244" s="9" t="n">
        <x:v>0.9333333333333333</x:v>
      </x:c>
      <x:c r="Q244" s="4"/>
      <x:c r="R244" s="4" t="str">
        <x:v>设备控制、机器人或区块链具有独立领域语义，当前15类需跨类组合及行业标签</x:v>
      </x:c>
      <x:c r="S244" s="4" t="str">
        <x:v>GitHub月榜24-26</x:v>
      </x:c>
      <x:c r="T244" s="4" t="n">
        <x:v>242</x:v>
      </x:c>
      <x:c r="U244" s="4" t="str">
        <x:v>https://github.com/huggingface/lerobot</x:v>
      </x:c>
      <x:c r="V244" s="4" t="str">
        <x:v>huggingface/lerobot</x:v>
      </x:c>
    </x:row>
    <x:row r="245" ht="44" customHeight="1">
      <x:c r="A245" s="4" t="n">
        <x:v>240</x:v>
      </x:c>
      <x:c r="B245" s="4" t="str">
        <x:v>huggingface/skills</x:v>
      </x:c>
      <x:c r="C245" s="4"/>
      <x:c r="D245" s="4" t="str">
        <x:v>未归入15类</x:v>
      </x:c>
      <x:c r="E245" s="4" t="str">
        <x:v>范围排除</x:v>
      </x:c>
      <x:c r="F245" s="4" t="n">
        <x:v>0</x:v>
      </x:c>
      <x:c r="G245" s="4" t="str">
        <x:v>教程/资源/技能资产</x:v>
      </x:c>
      <x:c r="H245" s="4" t="str">
        <x:v>Agent资源（不等于运行时）</x:v>
      </x:c>
      <x:c r="I245" s="4" t="str">
        <x:v>当前页面未列入</x:v>
      </x:c>
      <x:c r="J245" s="4" t="str">
        <x:v>未记录</x:v>
      </x:c>
      <x:c r="K245" s="4" t="str">
        <x:v>未获取</x:v>
      </x:c>
      <x:c r="L245" s="4" t="str">
        <x:v>未记录</x:v>
      </x:c>
      <x:c r="M245" s="4" t="n">
        <x:v>0</x:v>
      </x:c>
      <x:c r="N245" s="4"/>
      <x:c r="O245" s="4"/>
      <x:c r="P245" s="9"/>
      <x:c r="Q245" s="4"/>
      <x:c r="R245" s="4" t="str">
        <x:v>按项目名称与已获取定位识别为知识、数据或技能资源；非独立软件能力证据</x:v>
      </x:c>
      <x:c r="S245" s="4" t="str">
        <x:v>GitHub月榜24-26</x:v>
      </x:c>
      <x:c r="T245" s="4" t="n">
        <x:v>243</x:v>
      </x:c>
      <x:c r="U245" s="4" t="str">
        <x:v>https://github.com/huggingface/skills</x:v>
      </x:c>
      <x:c r="V245" s="4" t="str">
        <x:v>huggingface/skills</x:v>
      </x:c>
    </x:row>
    <x:row r="246" ht="44" customHeight="1">
      <x:c r="A246" s="4" t="n">
        <x:v>241</x:v>
      </x:c>
      <x:c r="B246" s="4" t="str">
        <x:v>hugohe3/ppt-master</x:v>
      </x:c>
      <x:c r="C246" s="4" t="n">
        <x:v>10</x:v>
      </x:c>
      <x:c r="D246" s="4" t="str">
        <x:v>文档与办公数据处理</x:v>
      </x:c>
      <x:c r="E246" s="4" t="str">
        <x:v>本地证据分类</x:v>
      </x:c>
      <x:c r="F246" s="4" t="n">
        <x:v>1</x:v>
      </x:c>
      <x:c r="G246" s="4" t="str">
        <x:v>软件项目</x:v>
      </x:c>
      <x:c r="H246" s="4" t="str">
        <x:v>文档/知识内容</x:v>
      </x:c>
      <x:c r="I246" s="4" t="str">
        <x:v>当前页面未列入</x:v>
      </x:c>
      <x:c r="J246" s="4" t="str">
        <x:v>未记录</x:v>
      </x:c>
      <x:c r="K246" s="4" t="str">
        <x:v>未获取</x:v>
      </x:c>
      <x:c r="L246" s="4" t="str">
        <x:v>未记录</x:v>
      </x:c>
      <x:c r="M246" s="4" t="n">
        <x:v>0</x:v>
      </x:c>
      <x:c r="N246" s="4"/>
      <x:c r="O246" s="4"/>
      <x:c r="P246" s="9"/>
      <x:c r="Q246" s="4"/>
      <x:c r="R246" s="4" t="str">
        <x:v>项目名称/框架的明确功能定位；未逐一在线核验README</x:v>
      </x:c>
      <x:c r="S246" s="4" t="str">
        <x:v>GitHub月榜24-26</x:v>
      </x:c>
      <x:c r="T246" s="4" t="n">
        <x:v>244</x:v>
      </x:c>
      <x:c r="U246" s="4" t="str">
        <x:v>https://github.com/hugohe3/ppt-master</x:v>
      </x:c>
      <x:c r="V246" s="4" t="str">
        <x:v>hugohe3/ppt-master</x:v>
      </x:c>
    </x:row>
    <x:row r="247" ht="44" customHeight="1">
      <x:c r="A247" s="4" t="n">
        <x:v>242</x:v>
      </x:c>
      <x:c r="B247" s="4" t="str">
        <x:v>humanlayer/12-factor-agents</x:v>
      </x:c>
      <x:c r="C247" s="4"/>
      <x:c r="D247" s="4" t="str">
        <x:v>未归入15类</x:v>
      </x:c>
      <x:c r="E247" s="4" t="str">
        <x:v>范围排除</x:v>
      </x:c>
      <x:c r="F247" s="4" t="n">
        <x:v>0</x:v>
      </x:c>
      <x:c r="G247" s="4" t="str">
        <x:v>教程/资源/技能资产</x:v>
      </x:c>
      <x:c r="H247" s="4" t="str">
        <x:v>Agent资源（不等于运行时）</x:v>
      </x:c>
      <x:c r="I247" s="4" t="str">
        <x:v>当前页面未列入</x:v>
      </x:c>
      <x:c r="J247" s="4" t="str">
        <x:v>未记录</x:v>
      </x:c>
      <x:c r="K247" s="4" t="str">
        <x:v>未获取</x:v>
      </x:c>
      <x:c r="L247" s="4" t="str">
        <x:v>未记录</x:v>
      </x:c>
      <x:c r="M247" s="4" t="n">
        <x:v>0</x:v>
      </x:c>
      <x:c r="N247" s="4"/>
      <x:c r="O247" s="4"/>
      <x:c r="P247" s="9"/>
      <x:c r="Q247" s="4"/>
      <x:c r="R247" s="4" t="str">
        <x:v>按项目名称与已获取定位识别为知识、数据或技能资源；非独立软件能力证据</x:v>
      </x:c>
      <x:c r="S247" s="4" t="str">
        <x:v>GitHub月榜24-26</x:v>
      </x:c>
      <x:c r="T247" s="4" t="n">
        <x:v>245</x:v>
      </x:c>
      <x:c r="U247" s="4" t="str">
        <x:v>https://github.com/humanlayer/12-factor-agents</x:v>
      </x:c>
      <x:c r="V247" s="4" t="str">
        <x:v>humanlayer/12-factor-agents</x:v>
      </x:c>
    </x:row>
    <x:row r="248" ht="44" customHeight="1">
      <x:c r="A248" s="4" t="n">
        <x:v>243</x:v>
      </x:c>
      <x:c r="B248" s="4" t="str">
        <x:v>hyprwm/Hyprland</x:v>
      </x:c>
      <x:c r="C248" s="4" t="n">
        <x:v>2</x:v>
      </x:c>
      <x:c r="D248" s="4" t="str">
        <x:v>系统资源与原生互操作</x:v>
      </x:c>
      <x:c r="E248" s="4" t="str">
        <x:v>本地证据分类</x:v>
      </x:c>
      <x:c r="F248" s="4" t="n">
        <x:v>1</x:v>
      </x:c>
      <x:c r="G248" s="4" t="str">
        <x:v>软件项目</x:v>
      </x:c>
      <x:c r="H248" s="4" t="str">
        <x:v>原生/系统接口</x:v>
      </x:c>
      <x:c r="I248" s="4" t="str">
        <x:v>当前页面未列入</x:v>
      </x:c>
      <x:c r="J248" s="4" t="str">
        <x:v>未记录</x:v>
      </x:c>
      <x:c r="K248" s="4" t="str">
        <x:v>未获取</x:v>
      </x:c>
      <x:c r="L248" s="4" t="str">
        <x:v>未记录</x:v>
      </x:c>
      <x:c r="M248" s="4" t="n">
        <x:v>0</x:v>
      </x:c>
      <x:c r="N248" s="4"/>
      <x:c r="O248" s="4"/>
      <x:c r="P248" s="9"/>
      <x:c r="Q248" s="4"/>
      <x:c r="R248" s="4" t="str">
        <x:v>项目名称/框架的明确功能定位；未逐一在线核验README</x:v>
      </x:c>
      <x:c r="S248" s="4" t="str">
        <x:v>GitHub月榜24-26</x:v>
      </x:c>
      <x:c r="T248" s="4" t="n">
        <x:v>246</x:v>
      </x:c>
      <x:c r="U248" s="4" t="str">
        <x:v>https://github.com/hyprwm/Hyprland</x:v>
      </x:c>
      <x:c r="V248" s="4" t="str">
        <x:v>hyprwm/hyprland</x:v>
      </x:c>
    </x:row>
    <x:row r="249" ht="44" customHeight="1">
      <x:c r="A249" s="4" t="n">
        <x:v>244</x:v>
      </x:c>
      <x:c r="B249" s="4" t="str">
        <x:v>iOfficeAI/AionUi</x:v>
      </x:c>
      <x:c r="C249" s="4" t="n">
        <x:v>13</x:v>
      </x:c>
      <x:c r="D249" s="4" t="str">
        <x:v>Agent编排与工具执行</x:v>
      </x:c>
      <x:c r="E249" s="4" t="str">
        <x:v>本地证据分类</x:v>
      </x:c>
      <x:c r="F249" s="4" t="n">
        <x:v>1</x:v>
      </x:c>
      <x:c r="G249" s="4" t="str">
        <x:v>软件项目</x:v>
      </x:c>
      <x:c r="H249" s="4" t="str">
        <x:v>Agent/模型与工具</x:v>
      </x:c>
      <x:c r="I249" s="4" t="str">
        <x:v>办公文档与知识管理</x:v>
      </x:c>
      <x:c r="J249" s="4" t="str">
        <x:v>JavaScript/TypeScript</x:v>
      </x:c>
      <x:c r="K249" s="4" t="str">
        <x:v>未获取</x:v>
      </x:c>
      <x:c r="L249" s="4" t="str">
        <x:v>未记录</x:v>
      </x:c>
      <x:c r="M249" s="4" t="n">
        <x:v>110</x:v>
      </x:c>
      <x:c r="N249" s="4" t="n">
        <x:v>110</x:v>
      </x:c>
      <x:c r="O249" s="4" t="n">
        <x:v>89</x:v>
      </x:c>
      <x:c r="P249" s="9" t="n">
        <x:v>0.8090909090909091</x:v>
      </x:c>
      <x:c r="Q249" s="4"/>
      <x:c r="R249" s="4" t="str">
        <x:v>项目名称/框架的明确功能定位；未逐一在线核验README</x:v>
      </x:c>
      <x:c r="S249" s="4" t="str">
        <x:v>GitHub月榜24-26</x:v>
      </x:c>
      <x:c r="T249" s="4" t="n">
        <x:v>247</x:v>
      </x:c>
      <x:c r="U249" s="4" t="str">
        <x:v>https://github.com/iOfficeAI/AionUi</x:v>
      </x:c>
      <x:c r="V249" s="4" t="str">
        <x:v>iofficeai/aionui</x:v>
      </x:c>
    </x:row>
    <x:row r="250" ht="44" customHeight="1">
      <x:c r="A250" s="4" t="n">
        <x:v>245</x:v>
      </x:c>
      <x:c r="B250" s="4" t="str">
        <x:v>iOfficeAI/OfficeCLI</x:v>
      </x:c>
      <x:c r="C250" s="4" t="n">
        <x:v>12</x:v>
      </x:c>
      <x:c r="D250" s="4" t="str">
        <x:v>办公软件与桌面操作自动化</x:v>
      </x:c>
      <x:c r="E250" s="4" t="str">
        <x:v>本地证据分类</x:v>
      </x:c>
      <x:c r="F250" s="4" t="n">
        <x:v>1</x:v>
      </x:c>
      <x:c r="G250" s="4" t="str">
        <x:v>软件项目</x:v>
      </x:c>
      <x:c r="H250" s="4" t="str">
        <x:v>办公/浏览器执行</x:v>
      </x:c>
      <x:c r="I250" s="4" t="str">
        <x:v>当前页面未列入</x:v>
      </x:c>
      <x:c r="J250" s="4" t="str">
        <x:v>未记录</x:v>
      </x:c>
      <x:c r="K250" s="4" t="str">
        <x:v>未获取</x:v>
      </x:c>
      <x:c r="L250" s="4" t="str">
        <x:v>未记录</x:v>
      </x:c>
      <x:c r="M250" s="4" t="n">
        <x:v>0</x:v>
      </x:c>
      <x:c r="N250" s="4"/>
      <x:c r="O250" s="4"/>
      <x:c r="P250" s="9"/>
      <x:c r="Q250" s="4"/>
      <x:c r="R250" s="4" t="str">
        <x:v>项目名称/框架的明确功能定位；未逐一在线核验README</x:v>
      </x:c>
      <x:c r="S250" s="4" t="str">
        <x:v>GitHub月榜24-26</x:v>
      </x:c>
      <x:c r="T250" s="4" t="n">
        <x:v>248</x:v>
      </x:c>
      <x:c r="U250" s="4" t="str">
        <x:v>https://github.com/iOfficeAI/OfficeCLI</x:v>
      </x:c>
      <x:c r="V250" s="4" t="str">
        <x:v>iofficeai/officecli</x:v>
      </x:c>
    </x:row>
    <x:row r="251" ht="44" customHeight="1">
      <x:c r="A251" s="4" t="n">
        <x:v>246</x:v>
      </x:c>
      <x:c r="B251" s="4" t="str">
        <x:v>immich-app/immich</x:v>
      </x:c>
      <x:c r="C251" s="4" t="n">
        <x:v>9</x:v>
      </x:c>
      <x:c r="D251" s="4" t="str">
        <x:v>图形、多媒体与实时应用</x:v>
      </x:c>
      <x:c r="E251" s="4" t="str">
        <x:v>本地证据分类</x:v>
      </x:c>
      <x:c r="F251" s="4" t="n">
        <x:v>1</x:v>
      </x:c>
      <x:c r="G251" s="4" t="str">
        <x:v>软件项目</x:v>
      </x:c>
      <x:c r="H251" s="4" t="str">
        <x:v>媒体/图形应用</x:v>
      </x:c>
      <x:c r="I251" s="4" t="str">
        <x:v>当前页面未列入</x:v>
      </x:c>
      <x:c r="J251" s="4" t="str">
        <x:v>未记录</x:v>
      </x:c>
      <x:c r="K251" s="4" t="str">
        <x:v>未获取</x:v>
      </x:c>
      <x:c r="L251" s="4" t="str">
        <x:v>未记录</x:v>
      </x:c>
      <x:c r="M251" s="4" t="n">
        <x:v>0</x:v>
      </x:c>
      <x:c r="N251" s="4"/>
      <x:c r="O251" s="4"/>
      <x:c r="P251" s="9"/>
      <x:c r="Q251" s="4"/>
      <x:c r="R251" s="4" t="str">
        <x:v>项目名称/框架的明确功能定位；未逐一在线核验README</x:v>
      </x:c>
      <x:c r="S251" s="4" t="str">
        <x:v>GitHub月榜24-26</x:v>
      </x:c>
      <x:c r="T251" s="4" t="n">
        <x:v>249</x:v>
      </x:c>
      <x:c r="U251" s="4" t="str">
        <x:v>https://github.com/immich-app/immich</x:v>
      </x:c>
      <x:c r="V251" s="4" t="str">
        <x:v>immich-app/immich</x:v>
      </x:c>
    </x:row>
    <x:row r="252" ht="44" customHeight="1">
      <x:c r="A252" s="4" t="n">
        <x:v>247</x:v>
      </x:c>
      <x:c r="B252" s="4" t="str">
        <x:v>imthenachoman/How-To-Secure-A-Linux-Server</x:v>
      </x:c>
      <x:c r="C252" s="4"/>
      <x:c r="D252" s="4" t="str">
        <x:v>未归入15类</x:v>
      </x:c>
      <x:c r="E252" s="4" t="str">
        <x:v>范围排除</x:v>
      </x:c>
      <x:c r="F252" s="4" t="n">
        <x:v>0</x:v>
      </x:c>
      <x:c r="G252" s="4" t="str">
        <x:v>教程/资源/技能资产</x:v>
      </x:c>
      <x:c r="H252" s="4" t="str">
        <x:v>知识/数据资产</x:v>
      </x:c>
      <x:c r="I252" s="4" t="str">
        <x:v>当前页面未列入</x:v>
      </x:c>
      <x:c r="J252" s="4" t="str">
        <x:v>未记录</x:v>
      </x:c>
      <x:c r="K252" s="4" t="str">
        <x:v>未获取</x:v>
      </x:c>
      <x:c r="L252" s="4" t="str">
        <x:v>未记录</x:v>
      </x:c>
      <x:c r="M252" s="4" t="n">
        <x:v>0</x:v>
      </x:c>
      <x:c r="N252" s="4"/>
      <x:c r="O252" s="4"/>
      <x:c r="P252" s="9"/>
      <x:c r="Q252" s="4"/>
      <x:c r="R252" s="4" t="str">
        <x:v>按项目名称与已获取定位识别为知识、数据或技能资源；非独立软件能力证据</x:v>
      </x:c>
      <x:c r="S252" s="4" t="str">
        <x:v>GitHub月榜24-26</x:v>
      </x:c>
      <x:c r="T252" s="4" t="n">
        <x:v>250</x:v>
      </x:c>
      <x:c r="U252" s="4" t="str">
        <x:v>https://github.com/imthenachoman/How-To-Secure-A-Linux-Server</x:v>
      </x:c>
      <x:c r="V252" s="4" t="str">
        <x:v>imthenachoman/how-to-secure-a-linux-server</x:v>
      </x:c>
    </x:row>
    <x:row r="253" ht="44" customHeight="1">
      <x:c r="A253" s="4" t="n">
        <x:v>248</x:v>
      </x:c>
      <x:c r="B253" s="4" t="str">
        <x:v>itwanger/toBeBetterJavaer</x:v>
      </x:c>
      <x:c r="C253" s="4"/>
      <x:c r="D253" s="4" t="str">
        <x:v>未归入15类</x:v>
      </x:c>
      <x:c r="E253" s="4" t="str">
        <x:v>范围排除</x:v>
      </x:c>
      <x:c r="F253" s="4" t="n">
        <x:v>0</x:v>
      </x:c>
      <x:c r="G253" s="4" t="str">
        <x:v>教程/资源/技能资产</x:v>
      </x:c>
      <x:c r="H253" s="4" t="str">
        <x:v>知识/数据资产</x:v>
      </x:c>
      <x:c r="I253" s="4" t="str">
        <x:v>行业与其他应用</x:v>
      </x:c>
      <x:c r="J253" s="4" t="str">
        <x:v>JavaScript/TypeScript</x:v>
      </x:c>
      <x:c r="K253" s="4" t="str">
        <x:v>未获取</x:v>
      </x:c>
      <x:c r="L253" s="4" t="str">
        <x:v>未记录</x:v>
      </x:c>
      <x:c r="M253" s="4" t="n">
        <x:v>3</x:v>
      </x:c>
      <x:c r="N253" s="4" t="n">
        <x:v>3</x:v>
      </x:c>
      <x:c r="O253" s="4" t="n">
        <x:v>0</x:v>
      </x:c>
      <x:c r="P253" s="9" t="n">
        <x:v>0</x:v>
      </x:c>
      <x:c r="Q253" s="4"/>
      <x:c r="R253" s="4" t="str">
        <x:v>按项目名称与已获取定位识别为知识、数据或技能资源；非独立软件能力证据</x:v>
      </x:c>
      <x:c r="S253" s="4" t="str">
        <x:v>GitHub月榜24-26</x:v>
      </x:c>
      <x:c r="T253" s="4" t="n">
        <x:v>251</x:v>
      </x:c>
      <x:c r="U253" s="4" t="str">
        <x:v>https://github.com/itwanger/toBeBetterJavaer</x:v>
      </x:c>
      <x:c r="V253" s="4" t="str">
        <x:v>itwanger/tobebetterjavaer</x:v>
      </x:c>
    </x:row>
    <x:row r="254" ht="44" customHeight="1">
      <x:c r="A254" s="4" t="n">
        <x:v>249</x:v>
      </x:c>
      <x:c r="B254" s="4" t="str">
        <x:v>jamiepine/voicebox</x:v>
      </x:c>
      <x:c r="C254" s="4" t="n">
        <x:v>11</x:v>
      </x:c>
      <x:c r="D254" s="4" t="str">
        <x:v>AI模型与机器学习</x:v>
      </x:c>
      <x:c r="E254" s="4" t="str">
        <x:v>本地证据分类</x:v>
      </x:c>
      <x:c r="F254" s="4" t="n">
        <x:v>1</x:v>
      </x:c>
      <x:c r="G254" s="4" t="str">
        <x:v>软件项目</x:v>
      </x:c>
      <x:c r="H254" s="4" t="str">
        <x:v>AI模型/推理</x:v>
      </x:c>
      <x:c r="I254" s="4" t="str">
        <x:v>多媒体与图形</x:v>
      </x:c>
      <x:c r="J254" s="4" t="str">
        <x:v>Python</x:v>
      </x:c>
      <x:c r="K254" s="4" t="str">
        <x:v>未获取</x:v>
      </x:c>
      <x:c r="L254" s="4" t="str">
        <x:v>未记录</x:v>
      </x:c>
      <x:c r="M254" s="4" t="n">
        <x:v>9</x:v>
      </x:c>
      <x:c r="N254" s="4" t="n">
        <x:v>9</x:v>
      </x:c>
      <x:c r="O254" s="4" t="n">
        <x:v>8</x:v>
      </x:c>
      <x:c r="P254" s="9" t="n">
        <x:v>0.8888888888888888</x:v>
      </x:c>
      <x:c r="Q254" s="4"/>
      <x:c r="R254" s="4" t="str">
        <x:v>项目名称/框架的明确功能定位；未逐一在线核验README</x:v>
      </x:c>
      <x:c r="S254" s="4" t="str">
        <x:v>GitHub月榜24-26</x:v>
      </x:c>
      <x:c r="T254" s="4" t="n">
        <x:v>252</x:v>
      </x:c>
      <x:c r="U254" s="4" t="str">
        <x:v>https://github.com/jamiepine/voicebox</x:v>
      </x:c>
      <x:c r="V254" s="4" t="str">
        <x:v>jamiepine/voicebox</x:v>
      </x:c>
    </x:row>
    <x:row r="255" ht="44" customHeight="1">
      <x:c r="A255" s="4" t="n">
        <x:v>250</x:v>
      </x:c>
      <x:c r="B255" s="4" t="str">
        <x:v>jaywcjlove/awesome-mac</x:v>
      </x:c>
      <x:c r="C255" s="4"/>
      <x:c r="D255" s="4" t="str">
        <x:v>未归入15类</x:v>
      </x:c>
      <x:c r="E255" s="4" t="str">
        <x:v>范围排除</x:v>
      </x:c>
      <x:c r="F255" s="4" t="n">
        <x:v>0</x:v>
      </x:c>
      <x:c r="G255" s="4" t="str">
        <x:v>教程/资源/技能资产</x:v>
      </x:c>
      <x:c r="H255" s="4" t="str">
        <x:v>知识/数据资产</x:v>
      </x:c>
      <x:c r="I255" s="4" t="str">
        <x:v>教育、示例与资源</x:v>
      </x:c>
      <x:c r="J255" s="4" t="str">
        <x:v>JavaScript/TypeScript</x:v>
      </x:c>
      <x:c r="K255" s="4" t="str">
        <x:v>未获取</x:v>
      </x:c>
      <x:c r="L255" s="4" t="str">
        <x:v>未记录</x:v>
      </x:c>
      <x:c r="M255" s="4" t="n">
        <x:v>5</x:v>
      </x:c>
      <x:c r="N255" s="4" t="n">
        <x:v>5</x:v>
      </x:c>
      <x:c r="O255" s="4" t="n">
        <x:v>4</x:v>
      </x:c>
      <x:c r="P255" s="9" t="n">
        <x:v>0.8</x:v>
      </x:c>
      <x:c r="Q255" s="4"/>
      <x:c r="R255" s="4" t="str">
        <x:v>按项目名称与已获取定位识别为知识、数据或技能资源；非独立软件能力证据</x:v>
      </x:c>
      <x:c r="S255" s="4" t="str">
        <x:v>GitHub月榜24-26</x:v>
      </x:c>
      <x:c r="T255" s="4" t="n">
        <x:v>253</x:v>
      </x:c>
      <x:c r="U255" s="4" t="str">
        <x:v>https://github.com/jaywcjlove/awesome-mac</x:v>
      </x:c>
      <x:c r="V255" s="4" t="str">
        <x:v>jaywcjlove/awesome-mac</x:v>
      </x:c>
    </x:row>
    <x:row r="256" ht="44" customHeight="1">
      <x:c r="A256" s="4" t="n">
        <x:v>251</x:v>
      </x:c>
      <x:c r="B256" s="4" t="str">
        <x:v>jellyfin/jellyfin</x:v>
      </x:c>
      <x:c r="C256" s="4" t="n">
        <x:v>9</x:v>
      </x:c>
      <x:c r="D256" s="4" t="str">
        <x:v>图形、多媒体与实时应用</x:v>
      </x:c>
      <x:c r="E256" s="4" t="str">
        <x:v>元数据已核验</x:v>
      </x:c>
      <x:c r="F256" s="4" t="n">
        <x:v>1</x:v>
      </x:c>
      <x:c r="G256" s="4" t="str">
        <x:v>软件项目</x:v>
      </x:c>
      <x:c r="H256" s="4" t="str">
        <x:v>媒体/图形</x:v>
      </x:c>
      <x:c r="I256" s="4" t="str">
        <x:v>当前页面未列入</x:v>
      </x:c>
      <x:c r="J256" s="4" t="str">
        <x:v>未记录</x:v>
      </x:c>
      <x:c r="K256" s="4" t="str">
        <x:v>C#</x:v>
      </x:c>
      <x:c r="L256" s="4" t="str">
        <x:v>未记录</x:v>
      </x:c>
      <x:c r="M256" s="4" t="n">
        <x:v>0</x:v>
      </x:c>
      <x:c r="N256" s="4"/>
      <x:c r="O256" s="4"/>
      <x:c r="P256" s="9"/>
      <x:c r="Q256" s="4"/>
      <x:c r="R256" s="4" t="str">
        <x:v>项目定位与GitHub描述人工对照</x:v>
      </x:c>
      <x:c r="S256" s="4" t="str">
        <x:v>GitHub月榜24-26</x:v>
      </x:c>
      <x:c r="T256" s="4" t="n">
        <x:v>254</x:v>
      </x:c>
      <x:c r="U256" s="4" t="str">
        <x:v>https://github.com/jellyfin/jellyfin</x:v>
      </x:c>
      <x:c r="V256" s="4" t="str">
        <x:v>jellyfin/jellyfin</x:v>
      </x:c>
    </x:row>
    <x:row r="257" ht="44" customHeight="1">
      <x:c r="A257" s="4" t="n">
        <x:v>252</x:v>
      </x:c>
      <x:c r="B257" s="4" t="str">
        <x:v>jesseduffield/lazygit</x:v>
      </x:c>
      <x:c r="C257" s="4" t="n">
        <x:v>14</x:v>
      </x:c>
      <x:c r="D257" s="4" t="str">
        <x:v>软件构建、开发与测试</x:v>
      </x:c>
      <x:c r="E257" s="4" t="str">
        <x:v>本地证据分类</x:v>
      </x:c>
      <x:c r="F257" s="4" t="n">
        <x:v>1</x:v>
      </x:c>
      <x:c r="G257" s="4" t="str">
        <x:v>软件项目</x:v>
      </x:c>
      <x:c r="H257" s="4" t="str">
        <x:v>软件工程；编程Agent需额外挂13标签</x:v>
      </x:c>
      <x:c r="I257" s="4" t="str">
        <x:v>云原生、运维与安全</x:v>
      </x:c>
      <x:c r="J257" s="4" t="str">
        <x:v>Go</x:v>
      </x:c>
      <x:c r="K257" s="4" t="str">
        <x:v>未获取</x:v>
      </x:c>
      <x:c r="L257" s="4" t="str">
        <x:v>未记录</x:v>
      </x:c>
      <x:c r="M257" s="4" t="n">
        <x:v>62</x:v>
      </x:c>
      <x:c r="N257" s="4" t="n">
        <x:v>62</x:v>
      </x:c>
      <x:c r="O257" s="4" t="n">
        <x:v>0</x:v>
      </x:c>
      <x:c r="P257" s="9" t="n">
        <x:v>0</x:v>
      </x:c>
      <x:c r="Q257" s="4"/>
      <x:c r="R257" s="4" t="str">
        <x:v>项目名称/框架的明确功能定位；未逐一在线核验README</x:v>
      </x:c>
      <x:c r="S257" s="4" t="str">
        <x:v>GitHub月榜24-26</x:v>
      </x:c>
      <x:c r="T257" s="4" t="n">
        <x:v>255</x:v>
      </x:c>
      <x:c r="U257" s="4" t="str">
        <x:v>https://github.com/jesseduffield/lazygit</x:v>
      </x:c>
      <x:c r="V257" s="4" t="str">
        <x:v>jesseduffield/lazygit</x:v>
      </x:c>
    </x:row>
    <x:row r="258" ht="44" customHeight="1">
      <x:c r="A258" s="4" t="n">
        <x:v>253</x:v>
      </x:c>
      <x:c r="B258" s="4" t="str">
        <x:v>jj-vcs/jj</x:v>
      </x:c>
      <x:c r="C258" s="4" t="n">
        <x:v>14</x:v>
      </x:c>
      <x:c r="D258" s="4" t="str">
        <x:v>软件构建、开发与测试</x:v>
      </x:c>
      <x:c r="E258" s="4" t="str">
        <x:v>本地证据分类</x:v>
      </x:c>
      <x:c r="F258" s="4" t="n">
        <x:v>1</x:v>
      </x:c>
      <x:c r="G258" s="4" t="str">
        <x:v>软件项目</x:v>
      </x:c>
      <x:c r="H258" s="4" t="str">
        <x:v>软件工程；编程Agent需额外挂13标签</x:v>
      </x:c>
      <x:c r="I258" s="4" t="str">
        <x:v>当前页面未列入</x:v>
      </x:c>
      <x:c r="J258" s="4" t="str">
        <x:v>未记录</x:v>
      </x:c>
      <x:c r="K258" s="4" t="str">
        <x:v>未获取</x:v>
      </x:c>
      <x:c r="L258" s="4" t="str">
        <x:v>未记录</x:v>
      </x:c>
      <x:c r="M258" s="4" t="n">
        <x:v>0</x:v>
      </x:c>
      <x:c r="N258" s="4"/>
      <x:c r="O258" s="4"/>
      <x:c r="P258" s="9"/>
      <x:c r="Q258" s="4"/>
      <x:c r="R258" s="4" t="str">
        <x:v>项目名称/框架的明确功能定位；未逐一在线核验README</x:v>
      </x:c>
      <x:c r="S258" s="4" t="str">
        <x:v>GitHub月榜24-26</x:v>
      </x:c>
      <x:c r="T258" s="4" t="n">
        <x:v>256</x:v>
      </x:c>
      <x:c r="U258" s="4" t="str">
        <x:v>https://github.com/jj-vcs/jj</x:v>
      </x:c>
      <x:c r="V258" s="4" t="str">
        <x:v>jj-vcs/jj</x:v>
      </x:c>
    </x:row>
    <x:row r="259" ht="44" customHeight="1">
      <x:c r="A259" s="4" t="n">
        <x:v>254</x:v>
      </x:c>
      <x:c r="B259" s="4" t="str">
        <x:v>jmorganca/ollama</x:v>
      </x:c>
      <x:c r="C259" s="4" t="n">
        <x:v>11</x:v>
      </x:c>
      <x:c r="D259" s="4" t="str">
        <x:v>AI模型与机器学习</x:v>
      </x:c>
      <x:c r="E259" s="4" t="str">
        <x:v>本地证据分类</x:v>
      </x:c>
      <x:c r="F259" s="4" t="n">
        <x:v>1</x:v>
      </x:c>
      <x:c r="G259" s="4" t="str">
        <x:v>软件项目</x:v>
      </x:c>
      <x:c r="H259" s="4" t="str">
        <x:v>AI模型/推理</x:v>
      </x:c>
      <x:c r="I259" s="4" t="str">
        <x:v>Agent 与 AI 应用</x:v>
      </x:c>
      <x:c r="J259" s="4" t="str">
        <x:v>Go</x:v>
      </x:c>
      <x:c r="K259" s="4" t="str">
        <x:v>未获取</x:v>
      </x:c>
      <x:c r="L259" s="4" t="str">
        <x:v>未记录</x:v>
      </x:c>
      <x:c r="M259" s="4" t="n">
        <x:v>94</x:v>
      </x:c>
      <x:c r="N259" s="4" t="n">
        <x:v>94</x:v>
      </x:c>
      <x:c r="O259" s="4" t="n">
        <x:v>0</x:v>
      </x:c>
      <x:c r="P259" s="9" t="n">
        <x:v>0</x:v>
      </x:c>
      <x:c r="Q259" s="4"/>
      <x:c r="R259" s="4" t="str">
        <x:v>项目名称/框架的明确功能定位；未逐一在线核验README</x:v>
      </x:c>
      <x:c r="S259" s="4" t="str">
        <x:v>GitHub月榜24-26</x:v>
      </x:c>
      <x:c r="T259" s="4" t="n">
        <x:v>257</x:v>
      </x:c>
      <x:c r="U259" s="4" t="str">
        <x:v>https://github.com/jmorganca/ollama</x:v>
      </x:c>
      <x:c r="V259" s="4" t="str">
        <x:v>jmorganca/ollama</x:v>
      </x:c>
    </x:row>
    <x:row r="260" ht="44" customHeight="1">
      <x:c r="A260" s="4" t="n">
        <x:v>255</x:v>
      </x:c>
      <x:c r="B260" s="4" t="str">
        <x:v>joaomdmoura/crewAI</x:v>
      </x:c>
      <x:c r="C260" s="4" t="n">
        <x:v>13</x:v>
      </x:c>
      <x:c r="D260" s="4" t="str">
        <x:v>Agent编排与工具执行</x:v>
      </x:c>
      <x:c r="E260" s="4" t="str">
        <x:v>本地证据分类</x:v>
      </x:c>
      <x:c r="F260" s="4" t="n">
        <x:v>1</x:v>
      </x:c>
      <x:c r="G260" s="4" t="str">
        <x:v>软件项目</x:v>
      </x:c>
      <x:c r="H260" s="4" t="str">
        <x:v>Agent/模型与工具</x:v>
      </x:c>
      <x:c r="I260" s="4" t="str">
        <x:v>Agent 与 AI 应用</x:v>
      </x:c>
      <x:c r="J260" s="4" t="str">
        <x:v>Python</x:v>
      </x:c>
      <x:c r="K260" s="4" t="str">
        <x:v>未获取</x:v>
      </x:c>
      <x:c r="L260" s="4" t="str">
        <x:v>未记录</x:v>
      </x:c>
      <x:c r="M260" s="4" t="n">
        <x:v>4</x:v>
      </x:c>
      <x:c r="N260" s="4" t="n">
        <x:v>4</x:v>
      </x:c>
      <x:c r="O260" s="4" t="n">
        <x:v>2</x:v>
      </x:c>
      <x:c r="P260" s="9" t="n">
        <x:v>0.5</x:v>
      </x:c>
      <x:c r="Q260" s="4"/>
      <x:c r="R260" s="4" t="str">
        <x:v>项目名称/框架的明确功能定位；未逐一在线核验README</x:v>
      </x:c>
      <x:c r="S260" s="4" t="str">
        <x:v>GitHub月榜24-26</x:v>
      </x:c>
      <x:c r="T260" s="4" t="n">
        <x:v>258</x:v>
      </x:c>
      <x:c r="U260" s="4" t="str">
        <x:v>https://github.com/joaomdmoura/crewAI</x:v>
      </x:c>
      <x:c r="V260" s="4" t="str">
        <x:v>joaomdmoura/crewai</x:v>
      </x:c>
    </x:row>
    <x:row r="261" ht="44" customHeight="1">
      <x:c r="A261" s="4" t="n">
        <x:v>256</x:v>
      </x:c>
      <x:c r="B261" s="4" t="str">
        <x:v>joonspk-research/generative_agents</x:v>
      </x:c>
      <x:c r="C261" s="4" t="n">
        <x:v>13</x:v>
      </x:c>
      <x:c r="D261" s="4" t="str">
        <x:v>Agent编排与工具执行</x:v>
      </x:c>
      <x:c r="E261" s="4" t="str">
        <x:v>本地证据分类</x:v>
      </x:c>
      <x:c r="F261" s="4" t="n">
        <x:v>1</x:v>
      </x:c>
      <x:c r="G261" s="4" t="str">
        <x:v>软件项目</x:v>
      </x:c>
      <x:c r="H261" s="4" t="str">
        <x:v>Agent/模型与工具</x:v>
      </x:c>
      <x:c r="I261" s="4" t="str">
        <x:v>数据分析与科学计算</x:v>
      </x:c>
      <x:c r="J261" s="4" t="str">
        <x:v>Python</x:v>
      </x:c>
      <x:c r="K261" s="4" t="str">
        <x:v>未获取</x:v>
      </x:c>
      <x:c r="L261" s="4" t="str">
        <x:v>未记录</x:v>
      </x:c>
      <x:c r="M261" s="4" t="n">
        <x:v>66</x:v>
      </x:c>
      <x:c r="N261" s="4" t="n">
        <x:v>66</x:v>
      </x:c>
      <x:c r="O261" s="4" t="n">
        <x:v>52</x:v>
      </x:c>
      <x:c r="P261" s="9" t="n">
        <x:v>0.7878787878787878</x:v>
      </x:c>
      <x:c r="Q261" s="4"/>
      <x:c r="R261" s="4" t="str">
        <x:v>项目名称/框架的明确功能定位；未逐一在线核验README</x:v>
      </x:c>
      <x:c r="S261" s="4" t="str">
        <x:v>GitHub月榜24-26</x:v>
      </x:c>
      <x:c r="T261" s="4" t="n">
        <x:v>259</x:v>
      </x:c>
      <x:c r="U261" s="4" t="str">
        <x:v>https://github.com/joonspk-research/generative_agents</x:v>
      </x:c>
      <x:c r="V261" s="4" t="str">
        <x:v>joonspk-research/generative_agents</x:v>
      </x:c>
    </x:row>
    <x:row r="262" ht="44" customHeight="1">
      <x:c r="A262" s="4" t="n">
        <x:v>257</x:v>
      </x:c>
      <x:c r="B262" s="4" t="str">
        <x:v>juanfont/headscale</x:v>
      </x:c>
      <x:c r="C262" s="4" t="n">
        <x:v>3</x:v>
      </x:c>
      <x:c r="D262" s="4" t="str">
        <x:v>网络与通信协议</x:v>
      </x:c>
      <x:c r="E262" s="4" t="str">
        <x:v>本地证据分类</x:v>
      </x:c>
      <x:c r="F262" s="4" t="n">
        <x:v>1</x:v>
      </x:c>
      <x:c r="G262" s="4" t="str">
        <x:v>软件项目</x:v>
      </x:c>
      <x:c r="H262" s="4" t="str">
        <x:v>网络通信</x:v>
      </x:c>
      <x:c r="I262" s="4" t="str">
        <x:v>云原生、运维与安全</x:v>
      </x:c>
      <x:c r="J262" s="4" t="str">
        <x:v>Go</x:v>
      </x:c>
      <x:c r="K262" s="4" t="str">
        <x:v>未获取</x:v>
      </x:c>
      <x:c r="L262" s="4" t="str">
        <x:v>未记录</x:v>
      </x:c>
      <x:c r="M262" s="4" t="n">
        <x:v>218</x:v>
      </x:c>
      <x:c r="N262" s="4" t="n">
        <x:v>218</x:v>
      </x:c>
      <x:c r="O262" s="4" t="n">
        <x:v>0</x:v>
      </x:c>
      <x:c r="P262" s="9" t="n">
        <x:v>0</x:v>
      </x:c>
      <x:c r="Q262" s="4"/>
      <x:c r="R262" s="4" t="str">
        <x:v>项目名称/框架的明确功能定位；未逐一在线核验README</x:v>
      </x:c>
      <x:c r="S262" s="4" t="str">
        <x:v>GitHub月榜24-26</x:v>
      </x:c>
      <x:c r="T262" s="4" t="n">
        <x:v>260</x:v>
      </x:c>
      <x:c r="U262" s="4" t="str">
        <x:v>https://github.com/juanfont/headscale</x:v>
      </x:c>
      <x:c r="V262" s="4" t="str">
        <x:v>juanfont/headscale</x:v>
      </x:c>
    </x:row>
    <x:row r="263" ht="44" customHeight="1">
      <x:c r="A263" s="4" t="n">
        <x:v>258</x:v>
      </x:c>
      <x:c r="B263" s="4" t="str">
        <x:v>juliangarnier/anime</x:v>
      </x:c>
      <x:c r="C263" s="4" t="n">
        <x:v>9</x:v>
      </x:c>
      <x:c r="D263" s="4" t="str">
        <x:v>图形、多媒体与实时应用</x:v>
      </x:c>
      <x:c r="E263" s="4" t="str">
        <x:v>本地证据分类</x:v>
      </x:c>
      <x:c r="F263" s="4" t="n">
        <x:v>1</x:v>
      </x:c>
      <x:c r="G263" s="4" t="str">
        <x:v>软件项目</x:v>
      </x:c>
      <x:c r="H263" s="4" t="str">
        <x:v>媒体/图形</x:v>
      </x:c>
      <x:c r="I263" s="4" t="str">
        <x:v>浏览器自动化与数据采集</x:v>
      </x:c>
      <x:c r="J263" s="4" t="str">
        <x:v>JavaScript/TypeScript</x:v>
      </x:c>
      <x:c r="K263" s="4" t="str">
        <x:v>未获取</x:v>
      </x:c>
      <x:c r="L263" s="4" t="str">
        <x:v>未记录</x:v>
      </x:c>
      <x:c r="M263" s="4" t="n">
        <x:v>3</x:v>
      </x:c>
      <x:c r="N263" s="4" t="n">
        <x:v>3</x:v>
      </x:c>
      <x:c r="O263" s="4" t="n">
        <x:v>1</x:v>
      </x:c>
      <x:c r="P263" s="9" t="n">
        <x:v>0.3333333333333333</x:v>
      </x:c>
      <x:c r="Q263" s="4"/>
      <x:c r="R263" s="4" t="str">
        <x:v>项目名称/框架的明确功能定位；未逐一在线核验README</x:v>
      </x:c>
      <x:c r="S263" s="4" t="str">
        <x:v>GitHub月榜24-26</x:v>
      </x:c>
      <x:c r="T263" s="4" t="n">
        <x:v>261</x:v>
      </x:c>
      <x:c r="U263" s="4" t="str">
        <x:v>https://github.com/juliangarnier/anime</x:v>
      </x:c>
      <x:c r="V263" s="4" t="str">
        <x:v>juliangarnier/anime</x:v>
      </x:c>
    </x:row>
    <x:row r="264" ht="44" customHeight="1">
      <x:c r="A264" s="4" t="n">
        <x:v>259</x:v>
      </x:c>
      <x:c r="B264" s="4" t="str">
        <x:v>jwasham/coding-interview-university</x:v>
      </x:c>
      <x:c r="C264" s="4"/>
      <x:c r="D264" s="4" t="str">
        <x:v>未归入15类</x:v>
      </x:c>
      <x:c r="E264" s="4" t="str">
        <x:v>范围排除</x:v>
      </x:c>
      <x:c r="F264" s="4" t="n">
        <x:v>0</x:v>
      </x:c>
      <x:c r="G264" s="4" t="str">
        <x:v>教程/资源/技能资产</x:v>
      </x:c>
      <x:c r="H264" s="4" t="str">
        <x:v>知识/数据资产</x:v>
      </x:c>
      <x:c r="I264" s="4" t="str">
        <x:v>当前页面未列入</x:v>
      </x:c>
      <x:c r="J264" s="4" t="str">
        <x:v>未记录</x:v>
      </x:c>
      <x:c r="K264" s="4" t="str">
        <x:v>未获取</x:v>
      </x:c>
      <x:c r="L264" s="4" t="str">
        <x:v>未记录</x:v>
      </x:c>
      <x:c r="M264" s="4" t="n">
        <x:v>0</x:v>
      </x:c>
      <x:c r="N264" s="4"/>
      <x:c r="O264" s="4"/>
      <x:c r="P264" s="9"/>
      <x:c r="Q264" s="4"/>
      <x:c r="R264" s="4" t="str">
        <x:v>按项目名称与已获取定位识别为知识、数据或技能资源；非独立软件能力证据</x:v>
      </x:c>
      <x:c r="S264" s="4" t="str">
        <x:v>GitHub月榜24-26</x:v>
      </x:c>
      <x:c r="T264" s="4" t="n">
        <x:v>262</x:v>
      </x:c>
      <x:c r="U264" s="4" t="str">
        <x:v>https://github.com/jwasham/coding-interview-university</x:v>
      </x:c>
      <x:c r="V264" s="4" t="str">
        <x:v>jwasham/coding-interview-university</x:v>
      </x:c>
    </x:row>
    <x:row r="265" ht="44" customHeight="1">
      <x:c r="A265" s="4" t="n">
        <x:v>260</x:v>
      </x:c>
      <x:c r="B265" s="4" t="str">
        <x:v>k1tbyte/Wand-Enhancer</x:v>
      </x:c>
      <x:c r="C265" s="4"/>
      <x:c r="D265" s="4" t="str">
        <x:v>未归入15类</x:v>
      </x:c>
      <x:c r="E265" s="4" t="str">
        <x:v>信息不足</x:v>
      </x:c>
      <x:c r="F265" s="4" t="n">
        <x:v>1</x:v>
      </x:c>
      <x:c r="G265" s="4" t="str">
        <x:v>待确认项目</x:v>
      </x:c>
      <x:c r="H265" s="4" t="str"/>
      <x:c r="I265" s="4" t="str">
        <x:v>当前页面未列入</x:v>
      </x:c>
      <x:c r="J265" s="4" t="str">
        <x:v>未记录</x:v>
      </x:c>
      <x:c r="K265" s="4" t="str">
        <x:v>未获取</x:v>
      </x:c>
      <x:c r="L265" s="4" t="str">
        <x:v>未记录</x:v>
      </x:c>
      <x:c r="M265" s="4" t="n">
        <x:v>0</x:v>
      </x:c>
      <x:c r="N265" s="4"/>
      <x:c r="O265" s="4"/>
      <x:c r="P265" s="9"/>
      <x:c r="Q265" s="4"/>
      <x:c r="R265" s="4" t="str">
        <x:v>缺少明确功能描述，不按依赖或语言强行归类</x:v>
      </x:c>
      <x:c r="S265" s="4" t="str">
        <x:v>GitHub月榜24-26</x:v>
      </x:c>
      <x:c r="T265" s="4" t="n">
        <x:v>263</x:v>
      </x:c>
      <x:c r="U265" s="4" t="str">
        <x:v>https://github.com/k1tbyte/Wand-Enhancer</x:v>
      </x:c>
      <x:c r="V265" s="4" t="str">
        <x:v>k1tbyte/wand-enhancer</x:v>
      </x:c>
    </x:row>
    <x:row r="266" ht="44" customHeight="1">
      <x:c r="A266" s="4" t="n">
        <x:v>261</x:v>
      </x:c>
      <x:c r="B266" s="4" t="str">
        <x:v>kavishdevar/librepods</x:v>
      </x:c>
      <x:c r="C266" s="4" t="n">
        <x:v>2</x:v>
      </x:c>
      <x:c r="D266" s="4" t="str">
        <x:v>系统资源与原生互操作</x:v>
      </x:c>
      <x:c r="E266" s="4" t="str">
        <x:v>本地证据分类</x:v>
      </x:c>
      <x:c r="F266" s="4" t="n">
        <x:v>1</x:v>
      </x:c>
      <x:c r="G266" s="4" t="str">
        <x:v>软件项目</x:v>
      </x:c>
      <x:c r="H266" s="4" t="str">
        <x:v>原生/系统接口</x:v>
      </x:c>
      <x:c r="I266" s="4" t="str">
        <x:v>当前页面未列入</x:v>
      </x:c>
      <x:c r="J266" s="4" t="str">
        <x:v>未记录</x:v>
      </x:c>
      <x:c r="K266" s="4" t="str">
        <x:v>未获取</x:v>
      </x:c>
      <x:c r="L266" s="4" t="str">
        <x:v>未记录</x:v>
      </x:c>
      <x:c r="M266" s="4" t="n">
        <x:v>0</x:v>
      </x:c>
      <x:c r="N266" s="4"/>
      <x:c r="O266" s="4"/>
      <x:c r="P266" s="9"/>
      <x:c r="Q266" s="4"/>
      <x:c r="R266" s="4" t="str">
        <x:v>项目名称/框架的明确功能定位；未逐一在线核验README</x:v>
      </x:c>
      <x:c r="S266" s="4" t="str">
        <x:v>GitHub月榜24-26</x:v>
      </x:c>
      <x:c r="T266" s="4" t="n">
        <x:v>264</x:v>
      </x:c>
      <x:c r="U266" s="4" t="str">
        <x:v>https://github.com/kavishdevar/librepods</x:v>
      </x:c>
      <x:c r="V266" s="4" t="str">
        <x:v>kavishdevar/librepods</x:v>
      </x:c>
    </x:row>
    <x:row r="267" ht="44" customHeight="1">
      <x:c r="A267" s="4" t="n">
        <x:v>262</x:v>
      </x:c>
      <x:c r="B267" s="4" t="str">
        <x:v>kepano/obsidian-skills</x:v>
      </x:c>
      <x:c r="C267" s="4"/>
      <x:c r="D267" s="4" t="str">
        <x:v>未归入15类</x:v>
      </x:c>
      <x:c r="E267" s="4" t="str">
        <x:v>范围排除</x:v>
      </x:c>
      <x:c r="F267" s="4" t="n">
        <x:v>0</x:v>
      </x:c>
      <x:c r="G267" s="4" t="str">
        <x:v>教程/资源/技能资产</x:v>
      </x:c>
      <x:c r="H267" s="4" t="str">
        <x:v>Agent资源（不等于运行时）</x:v>
      </x:c>
      <x:c r="I267" s="4" t="str">
        <x:v>当前页面未列入</x:v>
      </x:c>
      <x:c r="J267" s="4" t="str">
        <x:v>未记录</x:v>
      </x:c>
      <x:c r="K267" s="4" t="str">
        <x:v>未获取</x:v>
      </x:c>
      <x:c r="L267" s="4" t="str">
        <x:v>未记录</x:v>
      </x:c>
      <x:c r="M267" s="4" t="n">
        <x:v>0</x:v>
      </x:c>
      <x:c r="N267" s="4"/>
      <x:c r="O267" s="4"/>
      <x:c r="P267" s="9"/>
      <x:c r="Q267" s="4"/>
      <x:c r="R267" s="4" t="str">
        <x:v>按项目名称与已获取定位识别为知识、数据或技能资源；非独立软件能力证据</x:v>
      </x:c>
      <x:c r="S267" s="4" t="str">
        <x:v>GitHub月榜24-26</x:v>
      </x:c>
      <x:c r="T267" s="4" t="n">
        <x:v>265</x:v>
      </x:c>
      <x:c r="U267" s="4" t="str">
        <x:v>https://github.com/kepano/obsidian-skills</x:v>
      </x:c>
      <x:c r="V267" s="4" t="str">
        <x:v>kepano/obsidian-skills</x:v>
      </x:c>
    </x:row>
    <x:row r="268" ht="44" customHeight="1">
      <x:c r="A268" s="4" t="n">
        <x:v>263</x:v>
      </x:c>
      <x:c r="B268" s="4" t="str">
        <x:v>khoj-ai/khoj</x:v>
      </x:c>
      <x:c r="C268" s="4" t="n">
        <x:v>13</x:v>
      </x:c>
      <x:c r="D268" s="4" t="str">
        <x:v>Agent编排与工具执行</x:v>
      </x:c>
      <x:c r="E268" s="4" t="str">
        <x:v>本地证据分类</x:v>
      </x:c>
      <x:c r="F268" s="4" t="n">
        <x:v>1</x:v>
      </x:c>
      <x:c r="G268" s="4" t="str">
        <x:v>软件项目</x:v>
      </x:c>
      <x:c r="H268" s="4" t="str">
        <x:v>Agent/模型与工具</x:v>
      </x:c>
      <x:c r="I268" s="4" t="str">
        <x:v>Agent 与 AI 应用</x:v>
      </x:c>
      <x:c r="J268" s="4" t="str">
        <x:v>Python</x:v>
      </x:c>
      <x:c r="K268" s="4" t="str">
        <x:v>未获取</x:v>
      </x:c>
      <x:c r="L268" s="4" t="str">
        <x:v>未记录</x:v>
      </x:c>
      <x:c r="M268" s="4" t="n">
        <x:v>59</x:v>
      </x:c>
      <x:c r="N268" s="4" t="n">
        <x:v>59</x:v>
      </x:c>
      <x:c r="O268" s="4" t="n">
        <x:v>46</x:v>
      </x:c>
      <x:c r="P268" s="9" t="n">
        <x:v>0.7796610169491526</x:v>
      </x:c>
      <x:c r="Q268" s="4"/>
      <x:c r="R268" s="4" t="str">
        <x:v>项目名称/框架的明确功能定位；未逐一在线核验README</x:v>
      </x:c>
      <x:c r="S268" s="4" t="str">
        <x:v>GitHub月榜24-26</x:v>
      </x:c>
      <x:c r="T268" s="4" t="n">
        <x:v>266</x:v>
      </x:c>
      <x:c r="U268" s="4" t="str">
        <x:v>https://github.com/khoj-ai/khoj</x:v>
      </x:c>
      <x:c r="V268" s="4" t="str">
        <x:v>khoj-ai/khoj</x:v>
      </x:c>
    </x:row>
    <x:row r="269" ht="44" customHeight="1">
      <x:c r="A269" s="4" t="n">
        <x:v>264</x:v>
      </x:c>
      <x:c r="B269" s="4" t="str">
        <x:v>kilimchoi/engineering-blogs</x:v>
      </x:c>
      <x:c r="C269" s="4"/>
      <x:c r="D269" s="4" t="str">
        <x:v>未归入15类</x:v>
      </x:c>
      <x:c r="E269" s="4" t="str">
        <x:v>范围排除</x:v>
      </x:c>
      <x:c r="F269" s="4" t="n">
        <x:v>0</x:v>
      </x:c>
      <x:c r="G269" s="4" t="str">
        <x:v>教程/资源/技能资产</x:v>
      </x:c>
      <x:c r="H269" s="4" t="str">
        <x:v>知识/数据资产</x:v>
      </x:c>
      <x:c r="I269" s="4" t="str">
        <x:v>当前页面未列入</x:v>
      </x:c>
      <x:c r="J269" s="4" t="str">
        <x:v>未记录</x:v>
      </x:c>
      <x:c r="K269" s="4" t="str">
        <x:v>未获取</x:v>
      </x:c>
      <x:c r="L269" s="4" t="str">
        <x:v>未记录</x:v>
      </x:c>
      <x:c r="M269" s="4" t="n">
        <x:v>0</x:v>
      </x:c>
      <x:c r="N269" s="4"/>
      <x:c r="O269" s="4"/>
      <x:c r="P269" s="9"/>
      <x:c r="Q269" s="4"/>
      <x:c r="R269" s="4" t="str">
        <x:v>按项目名称与已获取定位识别为知识、数据或技能资源；非独立软件能力证据</x:v>
      </x:c>
      <x:c r="S269" s="4" t="str">
        <x:v>GitHub月榜24-26</x:v>
      </x:c>
      <x:c r="T269" s="4" t="n">
        <x:v>267</x:v>
      </x:c>
      <x:c r="U269" s="4" t="str">
        <x:v>https://github.com/kilimchoi/engineering-blogs</x:v>
      </x:c>
      <x:c r="V269" s="4" t="str">
        <x:v>kilimchoi/engineering-blogs</x:v>
      </x:c>
    </x:row>
    <x:row r="270" ht="44" customHeight="1">
      <x:c r="A270" s="4" t="n">
        <x:v>265</x:v>
      </x:c>
      <x:c r="B270" s="4" t="str">
        <x:v>koala73/worldmonitor</x:v>
      </x:c>
      <x:c r="C270" s="4" t="n">
        <x:v>8</x:v>
      </x:c>
      <x:c r="D270" s="4" t="str">
        <x:v>数据处理与科学计算</x:v>
      </x:c>
      <x:c r="E270" s="4" t="str">
        <x:v>元数据已核验</x:v>
      </x:c>
      <x:c r="F270" s="4" t="n">
        <x:v>1</x:v>
      </x:c>
      <x:c r="G270" s="4" t="str">
        <x:v>软件项目</x:v>
      </x:c>
      <x:c r="H270" s="4" t="str">
        <x:v>数据/行业分析</x:v>
      </x:c>
      <x:c r="I270" s="4" t="str">
        <x:v>云原生、运维与安全</x:v>
      </x:c>
      <x:c r="J270" s="4" t="str">
        <x:v>JavaScript/TypeScript</x:v>
      </x:c>
      <x:c r="K270" s="4" t="str">
        <x:v>TypeScript</x:v>
      </x:c>
      <x:c r="L270" s="4" t="str">
        <x:v>未记录</x:v>
      </x:c>
      <x:c r="M270" s="4" t="n">
        <x:v>57</x:v>
      </x:c>
      <x:c r="N270" s="4" t="n">
        <x:v>57</x:v>
      </x:c>
      <x:c r="O270" s="4" t="n">
        <x:v>48</x:v>
      </x:c>
      <x:c r="P270" s="9" t="n">
        <x:v>0.8421052631578947</x:v>
      </x:c>
      <x:c r="Q270" s="4"/>
      <x:c r="R270" s="4" t="str">
        <x:v>项目定位与GitHub描述人工对照</x:v>
      </x:c>
      <x:c r="S270" s="4" t="str">
        <x:v>GitHub月榜24-26</x:v>
      </x:c>
      <x:c r="T270" s="4" t="n">
        <x:v>268</x:v>
      </x:c>
      <x:c r="U270" s="4" t="str">
        <x:v>https://github.com/koala73/worldmonitor</x:v>
      </x:c>
      <x:c r="V270" s="4" t="str">
        <x:v>koala73/worldmonitor</x:v>
      </x:c>
    </x:row>
    <x:row r="271" ht="44" customHeight="1">
      <x:c r="A271" s="4" t="n">
        <x:v>266</x:v>
      </x:c>
      <x:c r="B271" s="4" t="str">
        <x:v>koreader/koreader</x:v>
      </x:c>
      <x:c r="C271" s="4" t="n">
        <x:v>10</x:v>
      </x:c>
      <x:c r="D271" s="4" t="str">
        <x:v>文档与办公数据处理</x:v>
      </x:c>
      <x:c r="E271" s="4" t="str">
        <x:v>本地证据分类</x:v>
      </x:c>
      <x:c r="F271" s="4" t="n">
        <x:v>1</x:v>
      </x:c>
      <x:c r="G271" s="4" t="str">
        <x:v>软件项目</x:v>
      </x:c>
      <x:c r="H271" s="4" t="str">
        <x:v>文档/知识内容</x:v>
      </x:c>
      <x:c r="I271" s="4" t="str">
        <x:v>当前页面未列入</x:v>
      </x:c>
      <x:c r="J271" s="4" t="str">
        <x:v>未记录</x:v>
      </x:c>
      <x:c r="K271" s="4" t="str">
        <x:v>未获取</x:v>
      </x:c>
      <x:c r="L271" s="4" t="str">
        <x:v>未记录</x:v>
      </x:c>
      <x:c r="M271" s="4" t="n">
        <x:v>0</x:v>
      </x:c>
      <x:c r="N271" s="4"/>
      <x:c r="O271" s="4"/>
      <x:c r="P271" s="9"/>
      <x:c r="Q271" s="4"/>
      <x:c r="R271" s="4" t="str">
        <x:v>项目名称/框架的明确功能定位；未逐一在线核验README</x:v>
      </x:c>
      <x:c r="S271" s="4" t="str">
        <x:v>GitHub月榜24-26</x:v>
      </x:c>
      <x:c r="T271" s="4" t="n">
        <x:v>269</x:v>
      </x:c>
      <x:c r="U271" s="4" t="str">
        <x:v>https://github.com/koreader/koreader</x:v>
      </x:c>
      <x:c r="V271" s="4" t="str">
        <x:v>koreader/koreader</x:v>
      </x:c>
    </x:row>
    <x:row r="272" ht="44" customHeight="1">
      <x:c r="A272" s="4" t="n">
        <x:v>267</x:v>
      </x:c>
      <x:c r="B272" s="4" t="str">
        <x:v>krahets/hello-algo</x:v>
      </x:c>
      <x:c r="C272" s="4"/>
      <x:c r="D272" s="4" t="str">
        <x:v>未归入15类</x:v>
      </x:c>
      <x:c r="E272" s="4" t="str">
        <x:v>范围排除</x:v>
      </x:c>
      <x:c r="F272" s="4" t="n">
        <x:v>0</x:v>
      </x:c>
      <x:c r="G272" s="4" t="str">
        <x:v>教程/资源/技能资产</x:v>
      </x:c>
      <x:c r="H272" s="4" t="str">
        <x:v>知识/数据资产</x:v>
      </x:c>
      <x:c r="I272" s="4" t="str">
        <x:v>当前页面未列入</x:v>
      </x:c>
      <x:c r="J272" s="4" t="str">
        <x:v>未记录</x:v>
      </x:c>
      <x:c r="K272" s="4" t="str">
        <x:v>Java</x:v>
      </x:c>
      <x:c r="L272" s="4" t="str">
        <x:v>未记录</x:v>
      </x:c>
      <x:c r="M272" s="4" t="n">
        <x:v>0</x:v>
      </x:c>
      <x:c r="N272" s="4"/>
      <x:c r="O272" s="4"/>
      <x:c r="P272" s="9"/>
      <x:c r="Q272" s="4"/>
      <x:c r="R272" s="4" t="str">
        <x:v>按项目名称与已获取定位识别为知识、数据或技能资源；非独立软件能力证据</x:v>
      </x:c>
      <x:c r="S272" s="4" t="str">
        <x:v>GitHub月榜24-26</x:v>
      </x:c>
      <x:c r="T272" s="4" t="n">
        <x:v>270</x:v>
      </x:c>
      <x:c r="U272" s="4" t="str">
        <x:v>https://github.com/krahets/hello-algo</x:v>
      </x:c>
      <x:c r="V272" s="4" t="str">
        <x:v>krahets/hello-algo</x:v>
      </x:c>
    </x:row>
    <x:row r="273" ht="44" customHeight="1">
      <x:c r="A273" s="4" t="n">
        <x:v>268</x:v>
      </x:c>
      <x:c r="B273" s="4" t="str">
        <x:v>kuchin/awesome-cto</x:v>
      </x:c>
      <x:c r="C273" s="4"/>
      <x:c r="D273" s="4" t="str">
        <x:v>未归入15类</x:v>
      </x:c>
      <x:c r="E273" s="4" t="str">
        <x:v>范围排除</x:v>
      </x:c>
      <x:c r="F273" s="4" t="n">
        <x:v>0</x:v>
      </x:c>
      <x:c r="G273" s="4" t="str">
        <x:v>教程/资源/技能资产</x:v>
      </x:c>
      <x:c r="H273" s="4" t="str">
        <x:v>知识/数据资产</x:v>
      </x:c>
      <x:c r="I273" s="4" t="str">
        <x:v>当前页面未列入</x:v>
      </x:c>
      <x:c r="J273" s="4" t="str">
        <x:v>未记录</x:v>
      </x:c>
      <x:c r="K273" s="4" t="str">
        <x:v>未获取</x:v>
      </x:c>
      <x:c r="L273" s="4" t="str">
        <x:v>未记录</x:v>
      </x:c>
      <x:c r="M273" s="4" t="n">
        <x:v>0</x:v>
      </x:c>
      <x:c r="N273" s="4"/>
      <x:c r="O273" s="4"/>
      <x:c r="P273" s="9"/>
      <x:c r="Q273" s="4"/>
      <x:c r="R273" s="4" t="str">
        <x:v>按项目名称与已获取定位识别为知识、数据或技能资源；非独立软件能力证据</x:v>
      </x:c>
      <x:c r="S273" s="4" t="str">
        <x:v>GitHub月榜24-26</x:v>
      </x:c>
      <x:c r="T273" s="4" t="n">
        <x:v>271</x:v>
      </x:c>
      <x:c r="U273" s="4" t="str">
        <x:v>https://github.com/kuchin/awesome-cto</x:v>
      </x:c>
      <x:c r="V273" s="4" t="str">
        <x:v>kuchin/awesome-cto</x:v>
      </x:c>
    </x:row>
    <x:row r="274" ht="44" customHeight="1">
      <x:c r="A274" s="4" t="n">
        <x:v>269</x:v>
      </x:c>
      <x:c r="B274" s="4" t="str">
        <x:v>langgenius/dify</x:v>
      </x:c>
      <x:c r="C274" s="4" t="n">
        <x:v>13</x:v>
      </x:c>
      <x:c r="D274" s="4" t="str">
        <x:v>Agent编排与工具执行</x:v>
      </x:c>
      <x:c r="E274" s="4" t="str">
        <x:v>元数据已核验</x:v>
      </x:c>
      <x:c r="F274" s="4" t="n">
        <x:v>1</x:v>
      </x:c>
      <x:c r="G274" s="4" t="str">
        <x:v>软件项目</x:v>
      </x:c>
      <x:c r="H274" s="4" t="str">
        <x:v>Agent/模型与工具</x:v>
      </x:c>
      <x:c r="I274" s="4" t="str">
        <x:v>开发工具与工程效率</x:v>
      </x:c>
      <x:c r="J274" s="4" t="str">
        <x:v>JavaScript/TypeScript</x:v>
      </x:c>
      <x:c r="K274" s="4" t="str">
        <x:v>TypeScript</x:v>
      </x:c>
      <x:c r="L274" s="4" t="str">
        <x:v>未记录</x:v>
      </x:c>
      <x:c r="M274" s="4" t="n">
        <x:v>7</x:v>
      </x:c>
      <x:c r="N274" s="4" t="n">
        <x:v>7</x:v>
      </x:c>
      <x:c r="O274" s="4" t="n">
        <x:v>4</x:v>
      </x:c>
      <x:c r="P274" s="9" t="n">
        <x:v>0.5714285714285714</x:v>
      </x:c>
      <x:c r="Q274" s="4"/>
      <x:c r="R274" s="4" t="str">
        <x:v>项目定位与GitHub描述人工对照</x:v>
      </x:c>
      <x:c r="S274" s="4" t="str">
        <x:v>GitHub月榜24-26</x:v>
      </x:c>
      <x:c r="T274" s="4" t="n">
        <x:v>272</x:v>
      </x:c>
      <x:c r="U274" s="4" t="str">
        <x:v>https://github.com/langgenius/dify</x:v>
      </x:c>
      <x:c r="V274" s="4" t="str">
        <x:v>langgenius/dify</x:v>
      </x:c>
    </x:row>
    <x:row r="275" ht="44" customHeight="1">
      <x:c r="A275" s="4" t="n">
        <x:v>270</x:v>
      </x:c>
      <x:c r="B275" s="4" t="str">
        <x:v>lensterxyz/lenster</x:v>
      </x:c>
      <x:c r="C275" s="4" t="n">
        <x:v>6</x:v>
      </x:c>
      <x:c r="D275" s="4" t="str">
        <x:v>后端服务与业务流程</x:v>
      </x:c>
      <x:c r="E275" s="4" t="str">
        <x:v>本地证据分类</x:v>
      </x:c>
      <x:c r="F275" s="4" t="n">
        <x:v>1</x:v>
      </x:c>
      <x:c r="G275" s="4" t="str">
        <x:v>软件项目</x:v>
      </x:c>
      <x:c r="H275" s="4" t="str">
        <x:v>业务应用/确定性工作流</x:v>
      </x:c>
      <x:c r="I275" s="4" t="str">
        <x:v>Web 与业务服务</x:v>
      </x:c>
      <x:c r="J275" s="4" t="str">
        <x:v>JavaScript/TypeScript</x:v>
      </x:c>
      <x:c r="K275" s="4" t="str">
        <x:v>未获取</x:v>
      </x:c>
      <x:c r="L275" s="4" t="str">
        <x:v>未记录</x:v>
      </x:c>
      <x:c r="M275" s="4" t="n">
        <x:v>54</x:v>
      </x:c>
      <x:c r="N275" s="4" t="n">
        <x:v>54</x:v>
      </x:c>
      <x:c r="O275" s="4" t="n">
        <x:v>43</x:v>
      </x:c>
      <x:c r="P275" s="9" t="n">
        <x:v>0.7962962962962963</x:v>
      </x:c>
      <x:c r="Q275" s="4"/>
      <x:c r="R275" s="4" t="str">
        <x:v>项目名称/框架的明确功能定位；未逐一在线核验README</x:v>
      </x:c>
      <x:c r="S275" s="4" t="str">
        <x:v>GitHub月榜24-26</x:v>
      </x:c>
      <x:c r="T275" s="4" t="n">
        <x:v>273</x:v>
      </x:c>
      <x:c r="U275" s="4" t="str">
        <x:v>https://github.com/lensterxyz/lenster</x:v>
      </x:c>
      <x:c r="V275" s="4" t="str">
        <x:v>lensterxyz/lenster</x:v>
      </x:c>
    </x:row>
    <x:row r="276" ht="44" customHeight="1">
      <x:c r="A276" s="4" t="n">
        <x:v>271</x:v>
      </x:c>
      <x:c r="B276" s="4" t="str">
        <x:v>lfnovo/open-notebook</x:v>
      </x:c>
      <x:c r="C276" s="4" t="n">
        <x:v>10</x:v>
      </x:c>
      <x:c r="D276" s="4" t="str">
        <x:v>文档与办公数据处理</x:v>
      </x:c>
      <x:c r="E276" s="4" t="str">
        <x:v>本地证据分类</x:v>
      </x:c>
      <x:c r="F276" s="4" t="n">
        <x:v>1</x:v>
      </x:c>
      <x:c r="G276" s="4" t="str">
        <x:v>软件项目</x:v>
      </x:c>
      <x:c r="H276" s="4" t="str">
        <x:v>文档/知识内容</x:v>
      </x:c>
      <x:c r="I276" s="4" t="str">
        <x:v>Agent 与 AI 应用</x:v>
      </x:c>
      <x:c r="J276" s="4" t="str">
        <x:v>Python</x:v>
      </x:c>
      <x:c r="K276" s="4" t="str">
        <x:v>未获取</x:v>
      </x:c>
      <x:c r="L276" s="4" t="str">
        <x:v>未记录</x:v>
      </x:c>
      <x:c r="M276" s="4" t="n">
        <x:v>28</x:v>
      </x:c>
      <x:c r="N276" s="4" t="n">
        <x:v>28</x:v>
      </x:c>
      <x:c r="O276" s="4" t="n">
        <x:v>11</x:v>
      </x:c>
      <x:c r="P276" s="9" t="n">
        <x:v>0.39285714285714285</x:v>
      </x:c>
      <x:c r="Q276" s="4"/>
      <x:c r="R276" s="4" t="str">
        <x:v>项目名称/框架的明确功能定位；未逐一在线核验README</x:v>
      </x:c>
      <x:c r="S276" s="4" t="str">
        <x:v>GitHub月榜24-26</x:v>
      </x:c>
      <x:c r="T276" s="4" t="n">
        <x:v>274</x:v>
      </x:c>
      <x:c r="U276" s="4" t="str">
        <x:v>https://github.com/lfnovo/open-notebook</x:v>
      </x:c>
      <x:c r="V276" s="4" t="str">
        <x:v>lfnovo/open-notebook</x:v>
      </x:c>
    </x:row>
    <x:row r="277" ht="44" customHeight="1">
      <x:c r="A277" s="4" t="n">
        <x:v>272</x:v>
      </x:c>
      <x:c r="B277" s="4" t="str">
        <x:v>lib-pku/libpku</x:v>
      </x:c>
      <x:c r="C277" s="4"/>
      <x:c r="D277" s="4" t="str">
        <x:v>未归入15类</x:v>
      </x:c>
      <x:c r="E277" s="4" t="str">
        <x:v>范围排除</x:v>
      </x:c>
      <x:c r="F277" s="4" t="n">
        <x:v>0</x:v>
      </x:c>
      <x:c r="G277" s="4" t="str">
        <x:v>教程/资源/技能资产</x:v>
      </x:c>
      <x:c r="H277" s="4" t="str">
        <x:v>知识/数据资产</x:v>
      </x:c>
      <x:c r="I277" s="4" t="str">
        <x:v>当前页面未列入</x:v>
      </x:c>
      <x:c r="J277" s="4" t="str">
        <x:v>未记录</x:v>
      </x:c>
      <x:c r="K277" s="4" t="str">
        <x:v>未获取</x:v>
      </x:c>
      <x:c r="L277" s="4" t="str">
        <x:v>未记录</x:v>
      </x:c>
      <x:c r="M277" s="4" t="n">
        <x:v>0</x:v>
      </x:c>
      <x:c r="N277" s="4"/>
      <x:c r="O277" s="4"/>
      <x:c r="P277" s="9"/>
      <x:c r="Q277" s="4"/>
      <x:c r="R277" s="4" t="str">
        <x:v>按项目名称与已获取定位识别为知识、数据或技能资源；非独立软件能力证据</x:v>
      </x:c>
      <x:c r="S277" s="4" t="str">
        <x:v>GitHub月榜24-26</x:v>
      </x:c>
      <x:c r="T277" s="4" t="n">
        <x:v>275</x:v>
      </x:c>
      <x:c r="U277" s="4" t="str">
        <x:v>https://github.com/lib-pku/libpku</x:v>
      </x:c>
      <x:c r="V277" s="4" t="str">
        <x:v>lib-pku/libpku</x:v>
      </x:c>
    </x:row>
    <x:row r="278" ht="44" customHeight="1">
      <x:c r="A278" s="4" t="n">
        <x:v>273</x:v>
      </x:c>
      <x:c r="B278" s="4" t="str">
        <x:v>linshenkx/prompt-optimizer</x:v>
      </x:c>
      <x:c r="C278" s="4" t="n">
        <x:v>13</x:v>
      </x:c>
      <x:c r="D278" s="4" t="str">
        <x:v>Agent编排与工具执行</x:v>
      </x:c>
      <x:c r="E278" s="4" t="str">
        <x:v>本地证据分类</x:v>
      </x:c>
      <x:c r="F278" s="4" t="n">
        <x:v>1</x:v>
      </x:c>
      <x:c r="G278" s="4" t="str">
        <x:v>软件项目</x:v>
      </x:c>
      <x:c r="H278" s="4" t="str">
        <x:v>Agent编排/工具服务</x:v>
      </x:c>
      <x:c r="I278" s="4" t="str">
        <x:v>当前页面未列入</x:v>
      </x:c>
      <x:c r="J278" s="4" t="str">
        <x:v>未记录</x:v>
      </x:c>
      <x:c r="K278" s="4" t="str">
        <x:v>未获取</x:v>
      </x:c>
      <x:c r="L278" s="4" t="str">
        <x:v>未记录</x:v>
      </x:c>
      <x:c r="M278" s="4" t="n">
        <x:v>0</x:v>
      </x:c>
      <x:c r="N278" s="4"/>
      <x:c r="O278" s="4"/>
      <x:c r="P278" s="9"/>
      <x:c r="Q278" s="4"/>
      <x:c r="R278" s="4" t="str">
        <x:v>项目名称/框架的明确功能定位；未逐一在线核验README</x:v>
      </x:c>
      <x:c r="S278" s="4" t="str">
        <x:v>GitHub月榜24-26</x:v>
      </x:c>
      <x:c r="T278" s="4" t="n">
        <x:v>276</x:v>
      </x:c>
      <x:c r="U278" s="4" t="str">
        <x:v>https://github.com/linshenkx/prompt-optimizer</x:v>
      </x:c>
      <x:c r="V278" s="4" t="str">
        <x:v>linshenkx/prompt-optimizer</x:v>
      </x:c>
    </x:row>
    <x:row r="279" ht="44" customHeight="1">
      <x:c r="A279" s="4" t="n">
        <x:v>274</x:v>
      </x:c>
      <x:c r="B279" s="4" t="str">
        <x:v>lobehub/lobe-chat</x:v>
      </x:c>
      <x:c r="C279" s="4" t="n">
        <x:v>13</x:v>
      </x:c>
      <x:c r="D279" s="4" t="str">
        <x:v>Agent编排与工具执行</x:v>
      </x:c>
      <x:c r="E279" s="4" t="str">
        <x:v>本地证据分类</x:v>
      </x:c>
      <x:c r="F279" s="4" t="n">
        <x:v>1</x:v>
      </x:c>
      <x:c r="G279" s="4" t="str">
        <x:v>软件项目</x:v>
      </x:c>
      <x:c r="H279" s="4" t="str">
        <x:v>Agent/模型与工具</x:v>
      </x:c>
      <x:c r="I279" s="4" t="str">
        <x:v>Agent 与 AI 应用</x:v>
      </x:c>
      <x:c r="J279" s="4" t="str">
        <x:v>JavaScript/TypeScript</x:v>
      </x:c>
      <x:c r="K279" s="4" t="str">
        <x:v>未获取</x:v>
      </x:c>
      <x:c r="L279" s="4" t="str">
        <x:v>未记录</x:v>
      </x:c>
      <x:c r="M279" s="4" t="n">
        <x:v>320</x:v>
      </x:c>
      <x:c r="N279" s="4" t="n">
        <x:v>320</x:v>
      </x:c>
      <x:c r="O279" s="4" t="n">
        <x:v>197</x:v>
      </x:c>
      <x:c r="P279" s="9" t="n">
        <x:v>0.615625</x:v>
      </x:c>
      <x:c r="Q279" s="4"/>
      <x:c r="R279" s="4" t="str">
        <x:v>项目名称/框架的明确功能定位；未逐一在线核验README</x:v>
      </x:c>
      <x:c r="S279" s="4" t="str">
        <x:v>GitHub月榜24-26</x:v>
      </x:c>
      <x:c r="T279" s="4" t="n">
        <x:v>277</x:v>
      </x:c>
      <x:c r="U279" s="4" t="str">
        <x:v>https://github.com/lobehub/lobe-chat</x:v>
      </x:c>
      <x:c r="V279" s="4" t="str">
        <x:v>lobehub/lobe-chat</x:v>
      </x:c>
    </x:row>
    <x:row r="280" ht="44" customHeight="1">
      <x:c r="A280" s="4" t="n">
        <x:v>275</x:v>
      </x:c>
      <x:c r="B280" s="4" t="str">
        <x:v>localsend/localsend</x:v>
      </x:c>
      <x:c r="C280" s="4" t="n">
        <x:v>3</x:v>
      </x:c>
      <x:c r="D280" s="4" t="str">
        <x:v>网络与通信协议</x:v>
      </x:c>
      <x:c r="E280" s="4" t="str">
        <x:v>本地证据分类</x:v>
      </x:c>
      <x:c r="F280" s="4" t="n">
        <x:v>1</x:v>
      </x:c>
      <x:c r="G280" s="4" t="str">
        <x:v>软件项目</x:v>
      </x:c>
      <x:c r="H280" s="4" t="str">
        <x:v>网络通信</x:v>
      </x:c>
      <x:c r="I280" s="4" t="str">
        <x:v>当前页面未列入</x:v>
      </x:c>
      <x:c r="J280" s="4" t="str">
        <x:v>未记录</x:v>
      </x:c>
      <x:c r="K280" s="4" t="str">
        <x:v>未获取</x:v>
      </x:c>
      <x:c r="L280" s="4" t="str">
        <x:v>未记录</x:v>
      </x:c>
      <x:c r="M280" s="4" t="n">
        <x:v>0</x:v>
      </x:c>
      <x:c r="N280" s="4"/>
      <x:c r="O280" s="4"/>
      <x:c r="P280" s="9"/>
      <x:c r="Q280" s="4"/>
      <x:c r="R280" s="4" t="str">
        <x:v>项目名称/框架的明确功能定位；未逐一在线核验README</x:v>
      </x:c>
      <x:c r="S280" s="4" t="str">
        <x:v>GitHub月榜24-26</x:v>
      </x:c>
      <x:c r="T280" s="4" t="n">
        <x:v>278</x:v>
      </x:c>
      <x:c r="U280" s="4" t="str">
        <x:v>https://github.com/localsend/localsend</x:v>
      </x:c>
      <x:c r="V280" s="4" t="str">
        <x:v>localsend/localsend</x:v>
      </x:c>
    </x:row>
    <x:row r="281" ht="44" customHeight="1">
      <x:c r="A281" s="4" t="n">
        <x:v>276</x:v>
      </x:c>
      <x:c r="B281" s="4" t="str">
        <x:v>localstack/localstack</x:v>
      </x:c>
      <x:c r="C281" s="4" t="n">
        <x:v>15</x:v>
      </x:c>
      <x:c r="D281" s="4" t="str">
        <x:v>部署运维与可观测性</x:v>
      </x:c>
      <x:c r="E281" s="4" t="str">
        <x:v>本地证据分类</x:v>
      </x:c>
      <x:c r="F281" s="4" t="n">
        <x:v>1</x:v>
      </x:c>
      <x:c r="G281" s="4" t="str">
        <x:v>软件项目</x:v>
      </x:c>
      <x:c r="H281" s="4" t="str">
        <x:v>运维/可观测性</x:v>
      </x:c>
      <x:c r="I281" s="4" t="str">
        <x:v>行业与其他应用</x:v>
      </x:c>
      <x:c r="J281" s="4" t="str">
        <x:v>Python</x:v>
      </x:c>
      <x:c r="K281" s="4" t="str">
        <x:v>未获取</x:v>
      </x:c>
      <x:c r="L281" s="4" t="str">
        <x:v>未记录</x:v>
      </x:c>
      <x:c r="M281" s="4" t="n">
        <x:v>13</x:v>
      </x:c>
      <x:c r="N281" s="4" t="n">
        <x:v>13</x:v>
      </x:c>
      <x:c r="O281" s="4" t="n">
        <x:v>11</x:v>
      </x:c>
      <x:c r="P281" s="9" t="n">
        <x:v>0.8461538461538461</x:v>
      </x:c>
      <x:c r="Q281" s="4"/>
      <x:c r="R281" s="4" t="str">
        <x:v>项目名称/框架的明确功能定位；未逐一在线核验README</x:v>
      </x:c>
      <x:c r="S281" s="4" t="str">
        <x:v>GitHub月榜24-26</x:v>
      </x:c>
      <x:c r="T281" s="4" t="n">
        <x:v>279</x:v>
      </x:c>
      <x:c r="U281" s="4" t="str">
        <x:v>https://github.com/localstack/localstack</x:v>
      </x:c>
      <x:c r="V281" s="4" t="str">
        <x:v>localstack/localstack</x:v>
      </x:c>
    </x:row>
    <x:row r="282" ht="44" customHeight="1">
      <x:c r="A282" s="4" t="n">
        <x:v>277</x:v>
      </x:c>
      <x:c r="B282" s="4" t="str">
        <x:v>lukasz-madon/awesome-remote-job</x:v>
      </x:c>
      <x:c r="C282" s="4"/>
      <x:c r="D282" s="4" t="str">
        <x:v>未归入15类</x:v>
      </x:c>
      <x:c r="E282" s="4" t="str">
        <x:v>范围排除</x:v>
      </x:c>
      <x:c r="F282" s="4" t="n">
        <x:v>0</x:v>
      </x:c>
      <x:c r="G282" s="4" t="str">
        <x:v>教程/资源/技能资产</x:v>
      </x:c>
      <x:c r="H282" s="4" t="str">
        <x:v>知识/数据资产</x:v>
      </x:c>
      <x:c r="I282" s="4" t="str">
        <x:v>当前页面未列入</x:v>
      </x:c>
      <x:c r="J282" s="4" t="str">
        <x:v>未记录</x:v>
      </x:c>
      <x:c r="K282" s="4" t="str">
        <x:v>未获取</x:v>
      </x:c>
      <x:c r="L282" s="4" t="str">
        <x:v>未记录</x:v>
      </x:c>
      <x:c r="M282" s="4" t="n">
        <x:v>0</x:v>
      </x:c>
      <x:c r="N282" s="4"/>
      <x:c r="O282" s="4"/>
      <x:c r="P282" s="9"/>
      <x:c r="Q282" s="4"/>
      <x:c r="R282" s="4" t="str">
        <x:v>按项目名称与已获取定位识别为知识、数据或技能资源；非独立软件能力证据</x:v>
      </x:c>
      <x:c r="S282" s="4" t="str">
        <x:v>GitHub月榜24-26</x:v>
      </x:c>
      <x:c r="T282" s="4" t="n">
        <x:v>280</x:v>
      </x:c>
      <x:c r="U282" s="4" t="str">
        <x:v>https://github.com/lukasz-madon/awesome-remote-job</x:v>
      </x:c>
      <x:c r="V282" s="4" t="str">
        <x:v>lukasz-madon/awesome-remote-job</x:v>
      </x:c>
    </x:row>
    <x:row r="283" ht="44" customHeight="1">
      <x:c r="A283" s="4" t="n">
        <x:v>278</x:v>
      </x:c>
      <x:c r="B283" s="4" t="str">
        <x:v>luongnv89/claude-howto</x:v>
      </x:c>
      <x:c r="C283" s="4"/>
      <x:c r="D283" s="4" t="str">
        <x:v>未归入15类</x:v>
      </x:c>
      <x:c r="E283" s="4" t="str">
        <x:v>范围排除</x:v>
      </x:c>
      <x:c r="F283" s="4" t="n">
        <x:v>0</x:v>
      </x:c>
      <x:c r="G283" s="4" t="str">
        <x:v>教程/资源/技能资产</x:v>
      </x:c>
      <x:c r="H283" s="4" t="str">
        <x:v>知识/数据资产</x:v>
      </x:c>
      <x:c r="I283" s="4" t="str">
        <x:v>当前页面未列入</x:v>
      </x:c>
      <x:c r="J283" s="4" t="str">
        <x:v>未记录</x:v>
      </x:c>
      <x:c r="K283" s="4" t="str">
        <x:v>未获取</x:v>
      </x:c>
      <x:c r="L283" s="4" t="str">
        <x:v>未记录</x:v>
      </x:c>
      <x:c r="M283" s="4" t="n">
        <x:v>0</x:v>
      </x:c>
      <x:c r="N283" s="4"/>
      <x:c r="O283" s="4"/>
      <x:c r="P283" s="9"/>
      <x:c r="Q283" s="4"/>
      <x:c r="R283" s="4" t="str">
        <x:v>按项目名称与已获取定位识别为知识、数据或技能资源；非独立软件能力证据</x:v>
      </x:c>
      <x:c r="S283" s="4" t="str">
        <x:v>GitHub月榜24-26</x:v>
      </x:c>
      <x:c r="T283" s="4" t="n">
        <x:v>281</x:v>
      </x:c>
      <x:c r="U283" s="4" t="str">
        <x:v>https://github.com/luongnv89/claude-howto</x:v>
      </x:c>
      <x:c r="V283" s="4" t="str">
        <x:v>luongnv89/claude-howto</x:v>
      </x:c>
    </x:row>
    <x:row r="284" ht="44" customHeight="1">
      <x:c r="A284" s="4" t="n">
        <x:v>279</x:v>
      </x:c>
      <x:c r="B284" s="4" t="str">
        <x:v>m1k1o/neko</x:v>
      </x:c>
      <x:c r="C284" s="4"/>
      <x:c r="D284" s="4" t="str">
        <x:v>未归入15类</x:v>
      </x:c>
      <x:c r="E284" s="4" t="str">
        <x:v>信息不足</x:v>
      </x:c>
      <x:c r="F284" s="4" t="n">
        <x:v>1</x:v>
      </x:c>
      <x:c r="G284" s="4" t="str">
        <x:v>待确认项目</x:v>
      </x:c>
      <x:c r="H284" s="4" t="str"/>
      <x:c r="I284" s="4" t="str">
        <x:v>当前页面未列入</x:v>
      </x:c>
      <x:c r="J284" s="4" t="str">
        <x:v>未记录</x:v>
      </x:c>
      <x:c r="K284" s="4" t="str">
        <x:v>未获取</x:v>
      </x:c>
      <x:c r="L284" s="4" t="str">
        <x:v>未记录</x:v>
      </x:c>
      <x:c r="M284" s="4" t="n">
        <x:v>0</x:v>
      </x:c>
      <x:c r="N284" s="4"/>
      <x:c r="O284" s="4"/>
      <x:c r="P284" s="9"/>
      <x:c r="Q284" s="4"/>
      <x:c r="R284" s="4" t="str">
        <x:v>缺少明确功能描述，不按依赖或语言强行归类</x:v>
      </x:c>
      <x:c r="S284" s="4" t="str">
        <x:v>GitHub月榜24-26</x:v>
      </x:c>
      <x:c r="T284" s="4" t="n">
        <x:v>282</x:v>
      </x:c>
      <x:c r="U284" s="4" t="str">
        <x:v>https://github.com/m1k1o/neko</x:v>
      </x:c>
      <x:c r="V284" s="4" t="str">
        <x:v>m1k1o/neko</x:v>
      </x:c>
    </x:row>
    <x:row r="285" ht="44" customHeight="1">
      <x:c r="A285" s="4" t="n">
        <x:v>280</x:v>
      </x:c>
      <x:c r="B285" s="4" t="str">
        <x:v>maboloshi/github-chinese</x:v>
      </x:c>
      <x:c r="C285" s="4"/>
      <x:c r="D285" s="4" t="str">
        <x:v>未归入15类</x:v>
      </x:c>
      <x:c r="E285" s="4" t="str">
        <x:v>信息不足</x:v>
      </x:c>
      <x:c r="F285" s="4" t="n">
        <x:v>1</x:v>
      </x:c>
      <x:c r="G285" s="4" t="str">
        <x:v>待确认项目</x:v>
      </x:c>
      <x:c r="H285" s="4" t="str"/>
      <x:c r="I285" s="4" t="str">
        <x:v>当前页面未列入</x:v>
      </x:c>
      <x:c r="J285" s="4" t="str">
        <x:v>未记录</x:v>
      </x:c>
      <x:c r="K285" s="4" t="str">
        <x:v>未获取</x:v>
      </x:c>
      <x:c r="L285" s="4" t="str">
        <x:v>未记录</x:v>
      </x:c>
      <x:c r="M285" s="4" t="n">
        <x:v>0</x:v>
      </x:c>
      <x:c r="N285" s="4"/>
      <x:c r="O285" s="4"/>
      <x:c r="P285" s="9"/>
      <x:c r="Q285" s="4"/>
      <x:c r="R285" s="4" t="str">
        <x:v>缺少明确功能描述，不按依赖或语言强行归类</x:v>
      </x:c>
      <x:c r="S285" s="4" t="str">
        <x:v>GitHub月榜24-26</x:v>
      </x:c>
      <x:c r="T285" s="4" t="n">
        <x:v>283</x:v>
      </x:c>
      <x:c r="U285" s="4" t="str">
        <x:v>https://github.com/maboloshi/github-chinese</x:v>
      </x:c>
      <x:c r="V285" s="4" t="str">
        <x:v>maboloshi/github-chinese</x:v>
      </x:c>
    </x:row>
    <x:row r="286" ht="44" customHeight="1">
      <x:c r="A286" s="4" t="n">
        <x:v>281</x:v>
      </x:c>
      <x:c r="B286" s="4" t="str">
        <x:v>magic-wormhole/magic-wormhole</x:v>
      </x:c>
      <x:c r="C286" s="4" t="n">
        <x:v>3</x:v>
      </x:c>
      <x:c r="D286" s="4" t="str">
        <x:v>网络与通信协议</x:v>
      </x:c>
      <x:c r="E286" s="4" t="str">
        <x:v>本地证据分类</x:v>
      </x:c>
      <x:c r="F286" s="4" t="n">
        <x:v>1</x:v>
      </x:c>
      <x:c r="G286" s="4" t="str">
        <x:v>软件项目</x:v>
      </x:c>
      <x:c r="H286" s="4" t="str">
        <x:v>网络通信</x:v>
      </x:c>
      <x:c r="I286" s="4" t="str">
        <x:v>当前页面未列入</x:v>
      </x:c>
      <x:c r="J286" s="4" t="str">
        <x:v>未记录</x:v>
      </x:c>
      <x:c r="K286" s="4" t="str">
        <x:v>未获取</x:v>
      </x:c>
      <x:c r="L286" s="4" t="str">
        <x:v>未记录</x:v>
      </x:c>
      <x:c r="M286" s="4" t="n">
        <x:v>0</x:v>
      </x:c>
      <x:c r="N286" s="4"/>
      <x:c r="O286" s="4"/>
      <x:c r="P286" s="9"/>
      <x:c r="Q286" s="4"/>
      <x:c r="R286" s="4" t="str">
        <x:v>项目名称/框架的明确功能定位；未逐一在线核验README</x:v>
      </x:c>
      <x:c r="S286" s="4" t="str">
        <x:v>GitHub月榜24-26</x:v>
      </x:c>
      <x:c r="T286" s="4" t="n">
        <x:v>284</x:v>
      </x:c>
      <x:c r="U286" s="4" t="str">
        <x:v>https://github.com/magic-wormhole/magic-wormhole</x:v>
      </x:c>
      <x:c r="V286" s="4" t="str">
        <x:v>magic-wormhole/magic-wormhole</x:v>
      </x:c>
    </x:row>
    <x:row r="287" ht="44" customHeight="1">
      <x:c r="A287" s="4" t="n">
        <x:v>282</x:v>
      </x:c>
      <x:c r="B287" s="4" t="str">
        <x:v>mainmatter/100-exercises-to-learn-rust</x:v>
      </x:c>
      <x:c r="C287" s="4"/>
      <x:c r="D287" s="4" t="str">
        <x:v>未归入15类</x:v>
      </x:c>
      <x:c r="E287" s="4" t="str">
        <x:v>范围排除</x:v>
      </x:c>
      <x:c r="F287" s="4" t="n">
        <x:v>0</x:v>
      </x:c>
      <x:c r="G287" s="4" t="str">
        <x:v>教程/资源/技能资产</x:v>
      </x:c>
      <x:c r="H287" s="4" t="str">
        <x:v>知识/数据资产</x:v>
      </x:c>
      <x:c r="I287" s="4" t="str">
        <x:v>当前页面未列入</x:v>
      </x:c>
      <x:c r="J287" s="4" t="str">
        <x:v>未记录</x:v>
      </x:c>
      <x:c r="K287" s="4" t="str">
        <x:v>未获取</x:v>
      </x:c>
      <x:c r="L287" s="4" t="str">
        <x:v>未记录</x:v>
      </x:c>
      <x:c r="M287" s="4" t="n">
        <x:v>0</x:v>
      </x:c>
      <x:c r="N287" s="4"/>
      <x:c r="O287" s="4"/>
      <x:c r="P287" s="9"/>
      <x:c r="Q287" s="4"/>
      <x:c r="R287" s="4" t="str">
        <x:v>按项目名称与已获取定位识别为知识、数据或技能资源；非独立软件能力证据</x:v>
      </x:c>
      <x:c r="S287" s="4" t="str">
        <x:v>GitHub月榜24-26</x:v>
      </x:c>
      <x:c r="T287" s="4" t="n">
        <x:v>285</x:v>
      </x:c>
      <x:c r="U287" s="4" t="str">
        <x:v>https://github.com/mainmatter/100-exercises-to-learn-rust</x:v>
      </x:c>
      <x:c r="V287" s="4" t="str">
        <x:v>mainmatter/100-exercises-to-learn-rust</x:v>
      </x:c>
    </x:row>
    <x:row r="288" ht="44" customHeight="1">
      <x:c r="A288" s="4" t="n">
        <x:v>283</x:v>
      </x:c>
      <x:c r="B288" s="4" t="str">
        <x:v>makeplane/plane</x:v>
      </x:c>
      <x:c r="C288" s="4" t="n">
        <x:v>6</x:v>
      </x:c>
      <x:c r="D288" s="4" t="str">
        <x:v>后端服务与业务流程</x:v>
      </x:c>
      <x:c r="E288" s="4" t="str">
        <x:v>本地证据分类</x:v>
      </x:c>
      <x:c r="F288" s="4" t="n">
        <x:v>1</x:v>
      </x:c>
      <x:c r="G288" s="4" t="str">
        <x:v>软件项目</x:v>
      </x:c>
      <x:c r="H288" s="4" t="str">
        <x:v>业务应用/确定性工作流</x:v>
      </x:c>
      <x:c r="I288" s="4" t="str">
        <x:v>Web 与业务服务</x:v>
      </x:c>
      <x:c r="J288" s="4" t="str">
        <x:v>JavaScript/TypeScript</x:v>
      </x:c>
      <x:c r="K288" s="4" t="str">
        <x:v>未获取</x:v>
      </x:c>
      <x:c r="L288" s="4" t="str">
        <x:v>未记录</x:v>
      </x:c>
      <x:c r="M288" s="4" t="n">
        <x:v>3</x:v>
      </x:c>
      <x:c r="N288" s="4" t="n">
        <x:v>3</x:v>
      </x:c>
      <x:c r="O288" s="4" t="n">
        <x:v>0</x:v>
      </x:c>
      <x:c r="P288" s="9" t="n">
        <x:v>0</x:v>
      </x:c>
      <x:c r="Q288" s="4"/>
      <x:c r="R288" s="4" t="str">
        <x:v>项目名称/框架的明确功能定位；未逐一在线核验README</x:v>
      </x:c>
      <x:c r="S288" s="4" t="str">
        <x:v>GitHub月榜24-26</x:v>
      </x:c>
      <x:c r="T288" s="4" t="n">
        <x:v>286</x:v>
      </x:c>
      <x:c r="U288" s="4" t="str">
        <x:v>https://github.com/makeplane/plane</x:v>
      </x:c>
      <x:c r="V288" s="4" t="str">
        <x:v>makeplane/plane</x:v>
      </x:c>
    </x:row>
    <x:row r="289" ht="44" customHeight="1">
      <x:c r="A289" s="4" t="n">
        <x:v>284</x:v>
      </x:c>
      <x:c r="B289" s="4" t="str">
        <x:v>maotoumao/MusicFree</x:v>
      </x:c>
      <x:c r="C289" s="4" t="n">
        <x:v>9</x:v>
      </x:c>
      <x:c r="D289" s="4" t="str">
        <x:v>图形、多媒体与实时应用</x:v>
      </x:c>
      <x:c r="E289" s="4" t="str">
        <x:v>本地证据分类</x:v>
      </x:c>
      <x:c r="F289" s="4" t="n">
        <x:v>1</x:v>
      </x:c>
      <x:c r="G289" s="4" t="str">
        <x:v>软件项目</x:v>
      </x:c>
      <x:c r="H289" s="4" t="str">
        <x:v>媒体/图形</x:v>
      </x:c>
      <x:c r="I289" s="4" t="str">
        <x:v>多媒体与图形</x:v>
      </x:c>
      <x:c r="J289" s="4" t="str">
        <x:v>JavaScript/TypeScript</x:v>
      </x:c>
      <x:c r="K289" s="4" t="str">
        <x:v>未获取</x:v>
      </x:c>
      <x:c r="L289" s="4" t="str">
        <x:v>未记录</x:v>
      </x:c>
      <x:c r="M289" s="4" t="n">
        <x:v>72</x:v>
      </x:c>
      <x:c r="N289" s="4" t="n">
        <x:v>72</x:v>
      </x:c>
      <x:c r="O289" s="4" t="n">
        <x:v>46</x:v>
      </x:c>
      <x:c r="P289" s="9" t="n">
        <x:v>0.6388888888888888</x:v>
      </x:c>
      <x:c r="Q289" s="4"/>
      <x:c r="R289" s="4" t="str">
        <x:v>项目名称/框架的明确功能定位；未逐一在线核验README</x:v>
      </x:c>
      <x:c r="S289" s="4" t="str">
        <x:v>GitHub月榜24-26</x:v>
      </x:c>
      <x:c r="T289" s="4" t="n">
        <x:v>287</x:v>
      </x:c>
      <x:c r="U289" s="4" t="str">
        <x:v>https://github.com/maotoumao/MusicFree</x:v>
      </x:c>
      <x:c r="V289" s="4" t="str">
        <x:v>maotoumao/musicfree</x:v>
      </x:c>
    </x:row>
    <x:row r="290" ht="44" customHeight="1">
      <x:c r="A290" s="4" t="n">
        <x:v>285</x:v>
      </x:c>
      <x:c r="B290" s="4" t="str">
        <x:v>marimo-team/marimo</x:v>
      </x:c>
      <x:c r="C290" s="4" t="n">
        <x:v>8</x:v>
      </x:c>
      <x:c r="D290" s="4" t="str">
        <x:v>数据处理与科学计算</x:v>
      </x:c>
      <x:c r="E290" s="4" t="str">
        <x:v>本地证据分类</x:v>
      </x:c>
      <x:c r="F290" s="4" t="n">
        <x:v>1</x:v>
      </x:c>
      <x:c r="G290" s="4" t="str">
        <x:v>软件项目</x:v>
      </x:c>
      <x:c r="H290" s="4" t="str">
        <x:v>数据/行业分析</x:v>
      </x:c>
      <x:c r="I290" s="4" t="str">
        <x:v>办公文档与知识管理</x:v>
      </x:c>
      <x:c r="J290" s="4" t="str">
        <x:v>Python</x:v>
      </x:c>
      <x:c r="K290" s="4" t="str">
        <x:v>未获取</x:v>
      </x:c>
      <x:c r="L290" s="4" t="str">
        <x:v>未记录</x:v>
      </x:c>
      <x:c r="M290" s="4" t="n">
        <x:v>19</x:v>
      </x:c>
      <x:c r="N290" s="4" t="n">
        <x:v>19</x:v>
      </x:c>
      <x:c r="O290" s="4" t="n">
        <x:v>15</x:v>
      </x:c>
      <x:c r="P290" s="9" t="n">
        <x:v>0.7894736842105263</x:v>
      </x:c>
      <x:c r="Q290" s="4"/>
      <x:c r="R290" s="4" t="str">
        <x:v>项目名称/框架的明确功能定位；未逐一在线核验README</x:v>
      </x:c>
      <x:c r="S290" s="4" t="str">
        <x:v>GitHub月榜24-26</x:v>
      </x:c>
      <x:c r="T290" s="4" t="n">
        <x:v>288</x:v>
      </x:c>
      <x:c r="U290" s="4" t="str">
        <x:v>https://github.com/marimo-team/marimo</x:v>
      </x:c>
      <x:c r="V290" s="4" t="str">
        <x:v>marimo-team/marimo</x:v>
      </x:c>
    </x:row>
    <x:row r="291" ht="44" customHeight="1">
      <x:c r="A291" s="4" t="n">
        <x:v>286</x:v>
      </x:c>
      <x:c r="B291" s="4" t="str">
        <x:v>mattpocock/skills</x:v>
      </x:c>
      <x:c r="C291" s="4"/>
      <x:c r="D291" s="4" t="str">
        <x:v>未归入15类</x:v>
      </x:c>
      <x:c r="E291" s="4" t="str">
        <x:v>范围排除</x:v>
      </x:c>
      <x:c r="F291" s="4" t="n">
        <x:v>0</x:v>
      </x:c>
      <x:c r="G291" s="4" t="str">
        <x:v>教程/资源/技能资产</x:v>
      </x:c>
      <x:c r="H291" s="4" t="str">
        <x:v>Agent资源（不等于运行时）</x:v>
      </x:c>
      <x:c r="I291" s="4" t="str">
        <x:v>当前页面未列入</x:v>
      </x:c>
      <x:c r="J291" s="4" t="str">
        <x:v>未记录</x:v>
      </x:c>
      <x:c r="K291" s="4" t="str">
        <x:v>Shell</x:v>
      </x:c>
      <x:c r="L291" s="4" t="str">
        <x:v>未记录</x:v>
      </x:c>
      <x:c r="M291" s="4" t="n">
        <x:v>0</x:v>
      </x:c>
      <x:c r="N291" s="4"/>
      <x:c r="O291" s="4"/>
      <x:c r="P291" s="9"/>
      <x:c r="Q291" s="4"/>
      <x:c r="R291" s="4" t="str">
        <x:v>按项目名称与已获取定位识别为知识、数据或技能资源；非独立软件能力证据</x:v>
      </x:c>
      <x:c r="S291" s="4" t="str">
        <x:v>GitHub月榜24-26</x:v>
      </x:c>
      <x:c r="T291" s="4" t="n">
        <x:v>289</x:v>
      </x:c>
      <x:c r="U291" s="4" t="str">
        <x:v>https://github.com/mattpocock/skills</x:v>
      </x:c>
      <x:c r="V291" s="4" t="str">
        <x:v>mattpocock/skills</x:v>
      </x:c>
    </x:row>
    <x:row r="292" ht="44" customHeight="1">
      <x:c r="A292" s="4" t="n">
        <x:v>287</x:v>
      </x:c>
      <x:c r="B292" s="4" t="str">
        <x:v>mendableai/firecrawl</x:v>
      </x:c>
      <x:c r="C292" s="4" t="n">
        <x:v>12</x:v>
      </x:c>
      <x:c r="D292" s="4" t="str">
        <x:v>办公软件与桌面操作自动化</x:v>
      </x:c>
      <x:c r="E292" s="4" t="str">
        <x:v>本地证据分类</x:v>
      </x:c>
      <x:c r="F292" s="4" t="n">
        <x:v>1</x:v>
      </x:c>
      <x:c r="G292" s="4" t="str">
        <x:v>软件项目</x:v>
      </x:c>
      <x:c r="H292" s="4" t="str">
        <x:v>办公/浏览器执行</x:v>
      </x:c>
      <x:c r="I292" s="4" t="str">
        <x:v>当前页面未列入</x:v>
      </x:c>
      <x:c r="J292" s="4" t="str">
        <x:v>未记录</x:v>
      </x:c>
      <x:c r="K292" s="4" t="str">
        <x:v>未获取</x:v>
      </x:c>
      <x:c r="L292" s="4" t="str">
        <x:v>未记录</x:v>
      </x:c>
      <x:c r="M292" s="4" t="n">
        <x:v>0</x:v>
      </x:c>
      <x:c r="N292" s="4"/>
      <x:c r="O292" s="4"/>
      <x:c r="P292" s="9"/>
      <x:c r="Q292" s="4"/>
      <x:c r="R292" s="4" t="str">
        <x:v>项目名称/框架的明确功能定位；未逐一在线核验README</x:v>
      </x:c>
      <x:c r="S292" s="4" t="str">
        <x:v>GitHub月榜24-26</x:v>
      </x:c>
      <x:c r="T292" s="4" t="n">
        <x:v>290</x:v>
      </x:c>
      <x:c r="U292" s="4" t="str">
        <x:v>https://github.com/mendableai/firecrawl</x:v>
      </x:c>
      <x:c r="V292" s="4" t="str">
        <x:v>mendableai/firecrawl</x:v>
      </x:c>
    </x:row>
    <x:row r="293" ht="44" customHeight="1">
      <x:c r="A293" s="4" t="n">
        <x:v>288</x:v>
      </x:c>
      <x:c r="B293" s="4" t="str">
        <x:v>menloresearch/jan</x:v>
      </x:c>
      <x:c r="C293" s="4" t="n">
        <x:v>13</x:v>
      </x:c>
      <x:c r="D293" s="4" t="str">
        <x:v>Agent编排与工具执行</x:v>
      </x:c>
      <x:c r="E293" s="4" t="str">
        <x:v>本地证据分类</x:v>
      </x:c>
      <x:c r="F293" s="4" t="n">
        <x:v>1</x:v>
      </x:c>
      <x:c r="G293" s="4" t="str">
        <x:v>软件项目</x:v>
      </x:c>
      <x:c r="H293" s="4" t="str">
        <x:v>Agent/模型与工具</x:v>
      </x:c>
      <x:c r="I293" s="4" t="str">
        <x:v>桌面、TUI 与跨端应用</x:v>
      </x:c>
      <x:c r="J293" s="4" t="str">
        <x:v>JavaScript/TypeScript</x:v>
      </x:c>
      <x:c r="K293" s="4" t="str">
        <x:v>未获取</x:v>
      </x:c>
      <x:c r="L293" s="4" t="str">
        <x:v>未记录</x:v>
      </x:c>
      <x:c r="M293" s="4" t="n">
        <x:v>5</x:v>
      </x:c>
      <x:c r="N293" s="4" t="n">
        <x:v>5</x:v>
      </x:c>
      <x:c r="O293" s="4" t="n">
        <x:v>4</x:v>
      </x:c>
      <x:c r="P293" s="9" t="n">
        <x:v>0.8</x:v>
      </x:c>
      <x:c r="Q293" s="4"/>
      <x:c r="R293" s="4" t="str">
        <x:v>项目名称/框架的明确功能定位；未逐一在线核验README</x:v>
      </x:c>
      <x:c r="S293" s="4" t="str">
        <x:v>GitHub月榜24-26</x:v>
      </x:c>
      <x:c r="T293" s="4" t="n">
        <x:v>291</x:v>
      </x:c>
      <x:c r="U293" s="4" t="str">
        <x:v>https://github.com/menloresearch/jan</x:v>
      </x:c>
      <x:c r="V293" s="4" t="str">
        <x:v>menloresearch/jan</x:v>
      </x:c>
    </x:row>
    <x:row r="294" ht="44" customHeight="1">
      <x:c r="A294" s="4" t="n">
        <x:v>289</x:v>
      </x:c>
      <x:c r="B294" s="4" t="str">
        <x:v>mherrmann/helium</x:v>
      </x:c>
      <x:c r="C294" s="4" t="n">
        <x:v>12</x:v>
      </x:c>
      <x:c r="D294" s="4" t="str">
        <x:v>办公软件与桌面操作自动化</x:v>
      </x:c>
      <x:c r="E294" s="4" t="str">
        <x:v>本地证据分类</x:v>
      </x:c>
      <x:c r="F294" s="4" t="n">
        <x:v>1</x:v>
      </x:c>
      <x:c r="G294" s="4" t="str">
        <x:v>软件项目</x:v>
      </x:c>
      <x:c r="H294" s="4" t="str">
        <x:v>办公/浏览器执行</x:v>
      </x:c>
      <x:c r="I294" s="4" t="str">
        <x:v>浏览器自动化与数据采集</x:v>
      </x:c>
      <x:c r="J294" s="4" t="str">
        <x:v>Python</x:v>
      </x:c>
      <x:c r="K294" s="4" t="str">
        <x:v>未获取</x:v>
      </x:c>
      <x:c r="L294" s="4" t="str">
        <x:v>未记录</x:v>
      </x:c>
      <x:c r="M294" s="4" t="n">
        <x:v>1</x:v>
      </x:c>
      <x:c r="N294" s="4" t="n">
        <x:v>1</x:v>
      </x:c>
      <x:c r="O294" s="4" t="n">
        <x:v>1</x:v>
      </x:c>
      <x:c r="P294" s="9" t="n">
        <x:v>1</x:v>
      </x:c>
      <x:c r="Q294" s="4"/>
      <x:c r="R294" s="4" t="str">
        <x:v>项目名称/框架的明确功能定位；未逐一在线核验README</x:v>
      </x:c>
      <x:c r="S294" s="4" t="str">
        <x:v>GitHub月榜24-26</x:v>
      </x:c>
      <x:c r="T294" s="4" t="n">
        <x:v>292</x:v>
      </x:c>
      <x:c r="U294" s="4" t="str">
        <x:v>https://github.com/mherrmann/helium</x:v>
      </x:c>
      <x:c r="V294" s="4" t="str">
        <x:v>mherrmann/helium</x:v>
      </x:c>
    </x:row>
    <x:row r="295" ht="44" customHeight="1">
      <x:c r="A295" s="4" t="n">
        <x:v>290</x:v>
      </x:c>
      <x:c r="B295" s="4" t="str">
        <x:v>microsoft/AI-For-Beginners</x:v>
      </x:c>
      <x:c r="C295" s="4"/>
      <x:c r="D295" s="4" t="str">
        <x:v>未归入15类</x:v>
      </x:c>
      <x:c r="E295" s="4" t="str">
        <x:v>范围排除</x:v>
      </x:c>
      <x:c r="F295" s="4" t="n">
        <x:v>0</x:v>
      </x:c>
      <x:c r="G295" s="4" t="str">
        <x:v>教程/资源/技能资产</x:v>
      </x:c>
      <x:c r="H295" s="4" t="str">
        <x:v>知识/数据资产</x:v>
      </x:c>
      <x:c r="I295" s="4" t="str">
        <x:v>Agent 与 AI 应用</x:v>
      </x:c>
      <x:c r="J295" s="4" t="str">
        <x:v>Python</x:v>
      </x:c>
      <x:c r="K295" s="4" t="str">
        <x:v>未获取</x:v>
      </x:c>
      <x:c r="L295" s="4" t="str">
        <x:v>未记录</x:v>
      </x:c>
      <x:c r="M295" s="4" t="n">
        <x:v>20</x:v>
      </x:c>
      <x:c r="N295" s="4" t="n">
        <x:v>20</x:v>
      </x:c>
      <x:c r="O295" s="4" t="n">
        <x:v>12</x:v>
      </x:c>
      <x:c r="P295" s="9" t="n">
        <x:v>0.6</x:v>
      </x:c>
      <x:c r="Q295" s="4"/>
      <x:c r="R295" s="4" t="str">
        <x:v>按项目名称与已获取定位识别为知识、数据或技能资源；非独立软件能力证据</x:v>
      </x:c>
      <x:c r="S295" s="4" t="str">
        <x:v>GitHub月榜24-26</x:v>
      </x:c>
      <x:c r="T295" s="4" t="n">
        <x:v>293</x:v>
      </x:c>
      <x:c r="U295" s="4" t="str">
        <x:v>https://github.com/microsoft/AI-For-Beginners</x:v>
      </x:c>
      <x:c r="V295" s="4" t="str">
        <x:v>microsoft/ai-for-beginners</x:v>
      </x:c>
    </x:row>
    <x:row r="296" ht="44" customHeight="1">
      <x:c r="A296" s="4" t="n">
        <x:v>291</x:v>
      </x:c>
      <x:c r="B296" s="4" t="str">
        <x:v>microsoft/BitNet</x:v>
      </x:c>
      <x:c r="C296" s="4" t="n">
        <x:v>11</x:v>
      </x:c>
      <x:c r="D296" s="4" t="str">
        <x:v>AI模型与机器学习</x:v>
      </x:c>
      <x:c r="E296" s="4" t="str">
        <x:v>本地证据分类</x:v>
      </x:c>
      <x:c r="F296" s="4" t="n">
        <x:v>1</x:v>
      </x:c>
      <x:c r="G296" s="4" t="str">
        <x:v>软件项目</x:v>
      </x:c>
      <x:c r="H296" s="4" t="str">
        <x:v>AI模型/推理</x:v>
      </x:c>
      <x:c r="I296" s="4" t="str">
        <x:v>当前页面未列入</x:v>
      </x:c>
      <x:c r="J296" s="4" t="str">
        <x:v>未记录</x:v>
      </x:c>
      <x:c r="K296" s="4" t="str">
        <x:v>未获取</x:v>
      </x:c>
      <x:c r="L296" s="4" t="str">
        <x:v>未记录</x:v>
      </x:c>
      <x:c r="M296" s="4" t="n">
        <x:v>0</x:v>
      </x:c>
      <x:c r="N296" s="4"/>
      <x:c r="O296" s="4"/>
      <x:c r="P296" s="9"/>
      <x:c r="Q296" s="4"/>
      <x:c r="R296" s="4" t="str">
        <x:v>项目名称/框架的明确功能定位；未逐一在线核验README</x:v>
      </x:c>
      <x:c r="S296" s="4" t="str">
        <x:v>GitHub月榜24-26</x:v>
      </x:c>
      <x:c r="T296" s="4" t="n">
        <x:v>294</x:v>
      </x:c>
      <x:c r="U296" s="4" t="str">
        <x:v>https://github.com/microsoft/BitNet</x:v>
      </x:c>
      <x:c r="V296" s="4" t="str">
        <x:v>microsoft/bitnet</x:v>
      </x:c>
    </x:row>
    <x:row r="297" ht="44" customHeight="1">
      <x:c r="A297" s="4" t="n">
        <x:v>292</x:v>
      </x:c>
      <x:c r="B297" s="4" t="str">
        <x:v>microsoft/ML-For-Beginners</x:v>
      </x:c>
      <x:c r="C297" s="4"/>
      <x:c r="D297" s="4" t="str">
        <x:v>未归入15类</x:v>
      </x:c>
      <x:c r="E297" s="4" t="str">
        <x:v>范围排除</x:v>
      </x:c>
      <x:c r="F297" s="4" t="n">
        <x:v>0</x:v>
      </x:c>
      <x:c r="G297" s="4" t="str">
        <x:v>教程/资源/技能资产</x:v>
      </x:c>
      <x:c r="H297" s="4" t="str">
        <x:v>知识/数据资产</x:v>
      </x:c>
      <x:c r="I297" s="4" t="str">
        <x:v>教育、示例与资源</x:v>
      </x:c>
      <x:c r="J297" s="4" t="str">
        <x:v>JavaScript/TypeScript</x:v>
      </x:c>
      <x:c r="K297" s="4" t="str">
        <x:v>Jupyter Notebook</x:v>
      </x:c>
      <x:c r="L297" s="4" t="str">
        <x:v>未记录</x:v>
      </x:c>
      <x:c r="M297" s="4" t="n">
        <x:v>1</x:v>
      </x:c>
      <x:c r="N297" s="4" t="n">
        <x:v>1</x:v>
      </x:c>
      <x:c r="O297" s="4" t="n">
        <x:v>0</x:v>
      </x:c>
      <x:c r="P297" s="9" t="n">
        <x:v>0</x:v>
      </x:c>
      <x:c r="Q297" s="4"/>
      <x:c r="R297" s="4" t="str">
        <x:v>按项目名称与已获取定位识别为知识、数据或技能资源；非独立软件能力证据</x:v>
      </x:c>
      <x:c r="S297" s="4" t="str">
        <x:v>GitHub月榜24-26</x:v>
      </x:c>
      <x:c r="T297" s="4" t="n">
        <x:v>295</x:v>
      </x:c>
      <x:c r="U297" s="4" t="str">
        <x:v>https://github.com/microsoft/ML-For-Beginners</x:v>
      </x:c>
      <x:c r="V297" s="4" t="str">
        <x:v>microsoft/ml-for-beginners</x:v>
      </x:c>
    </x:row>
    <x:row r="298" ht="44" customHeight="1">
      <x:c r="A298" s="4" t="n">
        <x:v>293</x:v>
      </x:c>
      <x:c r="B298" s="4" t="str">
        <x:v>microsoft/OmniParser</x:v>
      </x:c>
      <x:c r="C298" s="4" t="n">
        <x:v>11</x:v>
      </x:c>
      <x:c r="D298" s="4" t="str">
        <x:v>AI模型与机器学习</x:v>
      </x:c>
      <x:c r="E298" s="4" t="str">
        <x:v>本地证据分类</x:v>
      </x:c>
      <x:c r="F298" s="4" t="n">
        <x:v>1</x:v>
      </x:c>
      <x:c r="G298" s="4" t="str">
        <x:v>软件项目</x:v>
      </x:c>
      <x:c r="H298" s="4" t="str">
        <x:v>模型/OCR/多模态</x:v>
      </x:c>
      <x:c r="I298" s="4" t="str">
        <x:v>Agent 与 AI 应用</x:v>
      </x:c>
      <x:c r="J298" s="4" t="str">
        <x:v>Python</x:v>
      </x:c>
      <x:c r="K298" s="4" t="str">
        <x:v>未获取</x:v>
      </x:c>
      <x:c r="L298" s="4" t="str">
        <x:v>未记录</x:v>
      </x:c>
      <x:c r="M298" s="4" t="n">
        <x:v>28</x:v>
      </x:c>
      <x:c r="N298" s="4" t="n">
        <x:v>28</x:v>
      </x:c>
      <x:c r="O298" s="4" t="n">
        <x:v>17</x:v>
      </x:c>
      <x:c r="P298" s="9" t="n">
        <x:v>0.6071428571428571</x:v>
      </x:c>
      <x:c r="Q298" s="4"/>
      <x:c r="R298" s="4" t="str">
        <x:v>项目名称/框架的明确功能定位；未逐一在线核验README</x:v>
      </x:c>
      <x:c r="S298" s="4" t="str">
        <x:v>GitHub月榜24-26</x:v>
      </x:c>
      <x:c r="T298" s="4" t="n">
        <x:v>296</x:v>
      </x:c>
      <x:c r="U298" s="4" t="str">
        <x:v>https://github.com/microsoft/OmniParser</x:v>
      </x:c>
      <x:c r="V298" s="4" t="str">
        <x:v>microsoft/omniparser</x:v>
      </x:c>
    </x:row>
    <x:row r="299" ht="44" customHeight="1">
      <x:c r="A299" s="4" t="n">
        <x:v>294</x:v>
      </x:c>
      <x:c r="B299" s="4" t="str">
        <x:v>microsoft/VibeVoice</x:v>
      </x:c>
      <x:c r="C299" s="4" t="n">
        <x:v>11</x:v>
      </x:c>
      <x:c r="D299" s="4" t="str">
        <x:v>AI模型与机器学习</x:v>
      </x:c>
      <x:c r="E299" s="4" t="str">
        <x:v>本地证据分类</x:v>
      </x:c>
      <x:c r="F299" s="4" t="n">
        <x:v>1</x:v>
      </x:c>
      <x:c r="G299" s="4" t="str">
        <x:v>软件项目</x:v>
      </x:c>
      <x:c r="H299" s="4" t="str">
        <x:v>AI模型/推理</x:v>
      </x:c>
      <x:c r="I299" s="4" t="str">
        <x:v>多媒体与图形</x:v>
      </x:c>
      <x:c r="J299" s="4" t="str">
        <x:v>Python</x:v>
      </x:c>
      <x:c r="K299" s="4" t="str">
        <x:v>未获取</x:v>
      </x:c>
      <x:c r="L299" s="4" t="str">
        <x:v>未记录</x:v>
      </x:c>
      <x:c r="M299" s="4" t="n">
        <x:v>19</x:v>
      </x:c>
      <x:c r="N299" s="4" t="n">
        <x:v>19</x:v>
      </x:c>
      <x:c r="O299" s="4" t="n">
        <x:v>13</x:v>
      </x:c>
      <x:c r="P299" s="9" t="n">
        <x:v>0.6842105263157895</x:v>
      </x:c>
      <x:c r="Q299" s="4"/>
      <x:c r="R299" s="4" t="str">
        <x:v>项目名称/框架的明确功能定位；未逐一在线核验README</x:v>
      </x:c>
      <x:c r="S299" s="4" t="str">
        <x:v>GitHub月榜24-26</x:v>
      </x:c>
      <x:c r="T299" s="4" t="n">
        <x:v>297</x:v>
      </x:c>
      <x:c r="U299" s="4" t="str">
        <x:v>https://github.com/microsoft/VibeVoice</x:v>
      </x:c>
      <x:c r="V299" s="4" t="str">
        <x:v>microsoft/vibevoice</x:v>
      </x:c>
    </x:row>
    <x:row r="300" ht="44" customHeight="1">
      <x:c r="A300" s="4" t="n">
        <x:v>295</x:v>
      </x:c>
      <x:c r="B300" s="4" t="str">
        <x:v>microsoft/ai-agents-for-beginners</x:v>
      </x:c>
      <x:c r="C300" s="4"/>
      <x:c r="D300" s="4" t="str">
        <x:v>未归入15类</x:v>
      </x:c>
      <x:c r="E300" s="4" t="str">
        <x:v>范围排除</x:v>
      </x:c>
      <x:c r="F300" s="4" t="n">
        <x:v>0</x:v>
      </x:c>
      <x:c r="G300" s="4" t="str">
        <x:v>教程/资源/技能资产</x:v>
      </x:c>
      <x:c r="H300" s="4" t="str">
        <x:v>Agent资源（不等于运行时）</x:v>
      </x:c>
      <x:c r="I300" s="4" t="str">
        <x:v>Agent 与 AI 应用</x:v>
      </x:c>
      <x:c r="J300" s="4" t="str">
        <x:v>Python</x:v>
      </x:c>
      <x:c r="K300" s="4" t="str">
        <x:v>未获取</x:v>
      </x:c>
      <x:c r="L300" s="4" t="str">
        <x:v>未记录</x:v>
      </x:c>
      <x:c r="M300" s="4" t="n">
        <x:v>20</x:v>
      </x:c>
      <x:c r="N300" s="4" t="n">
        <x:v>20</x:v>
      </x:c>
      <x:c r="O300" s="4" t="n">
        <x:v>15</x:v>
      </x:c>
      <x:c r="P300" s="9" t="n">
        <x:v>0.75</x:v>
      </x:c>
      <x:c r="Q300" s="4"/>
      <x:c r="R300" s="4" t="str">
        <x:v>按项目名称与已获取定位识别为知识、数据或技能资源；非独立软件能力证据</x:v>
      </x:c>
      <x:c r="S300" s="4" t="str">
        <x:v>GitHub月榜24-26</x:v>
      </x:c>
      <x:c r="T300" s="4" t="n">
        <x:v>298</x:v>
      </x:c>
      <x:c r="U300" s="4" t="str">
        <x:v>https://github.com/microsoft/ai-agents-for-beginners</x:v>
      </x:c>
      <x:c r="V300" s="4" t="str">
        <x:v>microsoft/ai-agents-for-beginners</x:v>
      </x:c>
    </x:row>
    <x:row r="301" ht="44" customHeight="1">
      <x:c r="A301" s="4" t="n">
        <x:v>296</x:v>
      </x:c>
      <x:c r="B301" s="4" t="str">
        <x:v>microsoft/autogen</x:v>
      </x:c>
      <x:c r="C301" s="4" t="n">
        <x:v>13</x:v>
      </x:c>
      <x:c r="D301" s="4" t="str">
        <x:v>Agent编排与工具执行</x:v>
      </x:c>
      <x:c r="E301" s="4" t="str">
        <x:v>本地证据分类</x:v>
      </x:c>
      <x:c r="F301" s="4" t="n">
        <x:v>1</x:v>
      </x:c>
      <x:c r="G301" s="4" t="str">
        <x:v>软件项目</x:v>
      </x:c>
      <x:c r="H301" s="4" t="str">
        <x:v>Agent/模型与工具</x:v>
      </x:c>
      <x:c r="I301" s="4" t="str">
        <x:v>当前页面未列入</x:v>
      </x:c>
      <x:c r="J301" s="4" t="str">
        <x:v>未记录</x:v>
      </x:c>
      <x:c r="K301" s="4" t="str">
        <x:v>未获取</x:v>
      </x:c>
      <x:c r="L301" s="4" t="str">
        <x:v>未记录</x:v>
      </x:c>
      <x:c r="M301" s="4" t="n">
        <x:v>0</x:v>
      </x:c>
      <x:c r="N301" s="4"/>
      <x:c r="O301" s="4"/>
      <x:c r="P301" s="9"/>
      <x:c r="Q301" s="4"/>
      <x:c r="R301" s="4" t="str">
        <x:v>项目名称/框架的明确功能定位；未逐一在线核验README</x:v>
      </x:c>
      <x:c r="S301" s="4" t="str">
        <x:v>GitHub月榜24-26</x:v>
      </x:c>
      <x:c r="T301" s="4" t="n">
        <x:v>299</x:v>
      </x:c>
      <x:c r="U301" s="4" t="str">
        <x:v>https://github.com/microsoft/autogen</x:v>
      </x:c>
      <x:c r="V301" s="4" t="str">
        <x:v>microsoft/autogen</x:v>
      </x:c>
    </x:row>
    <x:row r="302" ht="44" customHeight="1">
      <x:c r="A302" s="4" t="n">
        <x:v>297</x:v>
      </x:c>
      <x:c r="B302" s="4" t="str">
        <x:v>microsoft/call-center-ai</x:v>
      </x:c>
      <x:c r="C302" s="4" t="n">
        <x:v>13</x:v>
      </x:c>
      <x:c r="D302" s="4" t="str">
        <x:v>Agent编排与工具执行</x:v>
      </x:c>
      <x:c r="E302" s="4" t="str">
        <x:v>本地证据分类</x:v>
      </x:c>
      <x:c r="F302" s="4" t="n">
        <x:v>1</x:v>
      </x:c>
      <x:c r="G302" s="4" t="str">
        <x:v>软件项目</x:v>
      </x:c>
      <x:c r="H302" s="4" t="str">
        <x:v>Agent/模型与工具</x:v>
      </x:c>
      <x:c r="I302" s="4" t="str">
        <x:v>Agent 与 AI 应用</x:v>
      </x:c>
      <x:c r="J302" s="4" t="str">
        <x:v>Python</x:v>
      </x:c>
      <x:c r="K302" s="4" t="str">
        <x:v>未获取</x:v>
      </x:c>
      <x:c r="L302" s="4" t="str">
        <x:v>未记录</x:v>
      </x:c>
      <x:c r="M302" s="4" t="n">
        <x:v>39</x:v>
      </x:c>
      <x:c r="N302" s="4" t="n">
        <x:v>39</x:v>
      </x:c>
      <x:c r="O302" s="4" t="n">
        <x:v>22</x:v>
      </x:c>
      <x:c r="P302" s="9" t="n">
        <x:v>0.5641025641025641</x:v>
      </x:c>
      <x:c r="Q302" s="4"/>
      <x:c r="R302" s="4" t="str">
        <x:v>项目名称/框架的明确功能定位；未逐一在线核验README</x:v>
      </x:c>
      <x:c r="S302" s="4" t="str">
        <x:v>GitHub月榜24-26</x:v>
      </x:c>
      <x:c r="T302" s="4" t="n">
        <x:v>300</x:v>
      </x:c>
      <x:c r="U302" s="4" t="str">
        <x:v>https://github.com/microsoft/call-center-ai</x:v>
      </x:c>
      <x:c r="V302" s="4" t="str">
        <x:v>microsoft/call-center-ai</x:v>
      </x:c>
    </x:row>
    <x:row r="303" ht="44" customHeight="1">
      <x:c r="A303" s="4" t="n">
        <x:v>298</x:v>
      </x:c>
      <x:c r="B303" s="4" t="str">
        <x:v>microsoft/fluentui-system-icons</x:v>
      </x:c>
      <x:c r="C303" s="4"/>
      <x:c r="D303" s="4" t="str">
        <x:v>未归入15类</x:v>
      </x:c>
      <x:c r="E303" s="4" t="str">
        <x:v>范围排除</x:v>
      </x:c>
      <x:c r="F303" s="4" t="n">
        <x:v>0</x:v>
      </x:c>
      <x:c r="G303" s="4" t="str">
        <x:v>教程/资源/技能资产</x:v>
      </x:c>
      <x:c r="H303" s="4" t="str">
        <x:v>知识/数据资产</x:v>
      </x:c>
      <x:c r="I303" s="4" t="str">
        <x:v>Web 与业务服务</x:v>
      </x:c>
      <x:c r="J303" s="4" t="str">
        <x:v>JavaScript/TypeScript</x:v>
      </x:c>
      <x:c r="K303" s="4" t="str">
        <x:v>未获取</x:v>
      </x:c>
      <x:c r="L303" s="4" t="str">
        <x:v>未记录</x:v>
      </x:c>
      <x:c r="M303" s="4" t="n">
        <x:v>47</x:v>
      </x:c>
      <x:c r="N303" s="4" t="n">
        <x:v>47</x:v>
      </x:c>
      <x:c r="O303" s="4" t="n">
        <x:v>29</x:v>
      </x:c>
      <x:c r="P303" s="9" t="n">
        <x:v>0.6170212765957447</x:v>
      </x:c>
      <x:c r="Q303" s="4"/>
      <x:c r="R303" s="4" t="str">
        <x:v>按项目名称与已获取定位识别为知识、数据或技能资源；非独立软件能力证据</x:v>
      </x:c>
      <x:c r="S303" s="4" t="str">
        <x:v>GitHub月榜24-26</x:v>
      </x:c>
      <x:c r="T303" s="4" t="n">
        <x:v>301</x:v>
      </x:c>
      <x:c r="U303" s="4" t="str">
        <x:v>https://github.com/microsoft/fluentui-system-icons</x:v>
      </x:c>
      <x:c r="V303" s="4" t="str">
        <x:v>microsoft/fluentui-system-icons</x:v>
      </x:c>
    </x:row>
    <x:row r="304" ht="44" customHeight="1">
      <x:c r="A304" s="4" t="n">
        <x:v>299</x:v>
      </x:c>
      <x:c r="B304" s="4" t="str">
        <x:v>microsoft/generative-ai-for-beginners</x:v>
      </x:c>
      <x:c r="C304" s="4"/>
      <x:c r="D304" s="4" t="str">
        <x:v>未归入15类</x:v>
      </x:c>
      <x:c r="E304" s="4" t="str">
        <x:v>范围排除</x:v>
      </x:c>
      <x:c r="F304" s="4" t="n">
        <x:v>0</x:v>
      </x:c>
      <x:c r="G304" s="4" t="str">
        <x:v>教程/资源/技能资产</x:v>
      </x:c>
      <x:c r="H304" s="4" t="str">
        <x:v>知识/数据资产</x:v>
      </x:c>
      <x:c r="I304" s="4" t="str">
        <x:v>Agent 与 AI 应用</x:v>
      </x:c>
      <x:c r="J304" s="4" t="str">
        <x:v>Python</x:v>
      </x:c>
      <x:c r="K304" s="4" t="str">
        <x:v>Jupyter Notebook</x:v>
      </x:c>
      <x:c r="L304" s="4" t="str">
        <x:v>未记录</x:v>
      </x:c>
      <x:c r="M304" s="4" t="n">
        <x:v>5</x:v>
      </x:c>
      <x:c r="N304" s="4" t="n">
        <x:v>5</x:v>
      </x:c>
      <x:c r="O304" s="4" t="n">
        <x:v>3</x:v>
      </x:c>
      <x:c r="P304" s="9" t="n">
        <x:v>0.6</x:v>
      </x:c>
      <x:c r="Q304" s="4"/>
      <x:c r="R304" s="4" t="str">
        <x:v>按项目名称与已获取定位识别为知识、数据或技能资源；非独立软件能力证据</x:v>
      </x:c>
      <x:c r="S304" s="4" t="str">
        <x:v>GitHub月榜24-26</x:v>
      </x:c>
      <x:c r="T304" s="4" t="n">
        <x:v>302</x:v>
      </x:c>
      <x:c r="U304" s="4" t="str">
        <x:v>https://github.com/microsoft/generative-ai-for-beginners</x:v>
      </x:c>
      <x:c r="V304" s="4" t="str">
        <x:v>microsoft/generative-ai-for-beginners</x:v>
      </x:c>
    </x:row>
    <x:row r="305" ht="44" customHeight="1">
      <x:c r="A305" s="4" t="n">
        <x:v>300</x:v>
      </x:c>
      <x:c r="B305" s="4" t="str">
        <x:v>microsoft/markitdown</x:v>
      </x:c>
      <x:c r="C305" s="4" t="n">
        <x:v>10</x:v>
      </x:c>
      <x:c r="D305" s="4" t="str">
        <x:v>文档与办公数据处理</x:v>
      </x:c>
      <x:c r="E305" s="4" t="str">
        <x:v>元数据已核验</x:v>
      </x:c>
      <x:c r="F305" s="4" t="n">
        <x:v>1</x:v>
      </x:c>
      <x:c r="G305" s="4" t="str">
        <x:v>软件项目</x:v>
      </x:c>
      <x:c r="H305" s="4" t="str">
        <x:v>文档/知识内容</x:v>
      </x:c>
      <x:c r="I305" s="4" t="str">
        <x:v>当前页面未列入</x:v>
      </x:c>
      <x:c r="J305" s="4" t="str">
        <x:v>未记录</x:v>
      </x:c>
      <x:c r="K305" s="4" t="str">
        <x:v>Python</x:v>
      </x:c>
      <x:c r="L305" s="4" t="str">
        <x:v>未记录</x:v>
      </x:c>
      <x:c r="M305" s="4" t="n">
        <x:v>0</x:v>
      </x:c>
      <x:c r="N305" s="4"/>
      <x:c r="O305" s="4"/>
      <x:c r="P305" s="9"/>
      <x:c r="Q305" s="4"/>
      <x:c r="R305" s="4" t="str">
        <x:v>项目定位与GitHub描述人工对照</x:v>
      </x:c>
      <x:c r="S305" s="4" t="str">
        <x:v>GitHub月榜24-26</x:v>
      </x:c>
      <x:c r="T305" s="4" t="n">
        <x:v>303</x:v>
      </x:c>
      <x:c r="U305" s="4" t="str">
        <x:v>https://github.com/microsoft/markitdown</x:v>
      </x:c>
      <x:c r="V305" s="4" t="str">
        <x:v>microsoft/markitdown</x:v>
      </x:c>
    </x:row>
    <x:row r="306" ht="44" customHeight="1">
      <x:c r="A306" s="4" t="n">
        <x:v>301</x:v>
      </x:c>
      <x:c r="B306" s="4" t="str">
        <x:v>microsoft/playwright-mcp</x:v>
      </x:c>
      <x:c r="C306" s="4" t="n">
        <x:v>12</x:v>
      </x:c>
      <x:c r="D306" s="4" t="str">
        <x:v>办公软件与桌面操作自动化</x:v>
      </x:c>
      <x:c r="E306" s="4" t="str">
        <x:v>本地证据分类</x:v>
      </x:c>
      <x:c r="F306" s="4" t="n">
        <x:v>1</x:v>
      </x:c>
      <x:c r="G306" s="4" t="str">
        <x:v>软件项目</x:v>
      </x:c>
      <x:c r="H306" s="4" t="str">
        <x:v>浏览器执行；MCP工具接口</x:v>
      </x:c>
      <x:c r="I306" s="4" t="str">
        <x:v>浏览器自动化与数据采集</x:v>
      </x:c>
      <x:c r="J306" s="4" t="str">
        <x:v>JavaScript/TypeScript</x:v>
      </x:c>
      <x:c r="K306" s="4" t="str">
        <x:v>未获取</x:v>
      </x:c>
      <x:c r="L306" s="4" t="str">
        <x:v>未记录</x:v>
      </x:c>
      <x:c r="M306" s="4" t="n">
        <x:v>1</x:v>
      </x:c>
      <x:c r="N306" s="4" t="n">
        <x:v>1</x:v>
      </x:c>
      <x:c r="O306" s="4" t="n">
        <x:v>0</x:v>
      </x:c>
      <x:c r="P306" s="9" t="n">
        <x:v>0</x:v>
      </x:c>
      <x:c r="Q306" s="4"/>
      <x:c r="R306" s="4" t="str">
        <x:v>项目名称/框架的明确功能定位；未逐一在线核验README</x:v>
      </x:c>
      <x:c r="S306" s="4" t="str">
        <x:v>GitHub月榜24-26</x:v>
      </x:c>
      <x:c r="T306" s="4" t="n">
        <x:v>304</x:v>
      </x:c>
      <x:c r="U306" s="4" t="str">
        <x:v>https://github.com/microsoft/playwright-mcp</x:v>
      </x:c>
      <x:c r="V306" s="4" t="str">
        <x:v>microsoft/playwright-mcp</x:v>
      </x:c>
    </x:row>
    <x:row r="307" ht="44" customHeight="1">
      <x:c r="A307" s="4" t="n">
        <x:v>302</x:v>
      </x:c>
      <x:c r="B307" s="4" t="str">
        <x:v>microsoft/vscode-copilot-chat</x:v>
      </x:c>
      <x:c r="C307" s="4" t="n">
        <x:v>14</x:v>
      </x:c>
      <x:c r="D307" s="4" t="str">
        <x:v>软件构建、开发与测试</x:v>
      </x:c>
      <x:c r="E307" s="4" t="str">
        <x:v>本地证据分类</x:v>
      </x:c>
      <x:c r="F307" s="4" t="n">
        <x:v>1</x:v>
      </x:c>
      <x:c r="G307" s="4" t="str">
        <x:v>软件项目</x:v>
      </x:c>
      <x:c r="H307" s="4" t="str">
        <x:v>软件工程；编程Agent需额外挂13标签</x:v>
      </x:c>
      <x:c r="I307" s="4" t="str">
        <x:v>Agent 与 AI 应用</x:v>
      </x:c>
      <x:c r="J307" s="4" t="str">
        <x:v>JavaScript/TypeScript</x:v>
      </x:c>
      <x:c r="K307" s="4" t="str">
        <x:v>未获取</x:v>
      </x:c>
      <x:c r="L307" s="4" t="str">
        <x:v>未记录</x:v>
      </x:c>
      <x:c r="M307" s="4" t="n">
        <x:v>96</x:v>
      </x:c>
      <x:c r="N307" s="4" t="n">
        <x:v>96</x:v>
      </x:c>
      <x:c r="O307" s="4" t="n">
        <x:v>82</x:v>
      </x:c>
      <x:c r="P307" s="9" t="n">
        <x:v>0.8541666666666666</x:v>
      </x:c>
      <x:c r="Q307" s="4"/>
      <x:c r="R307" s="4" t="str">
        <x:v>项目名称/框架的明确功能定位；未逐一在线核验README</x:v>
      </x:c>
      <x:c r="S307" s="4" t="str">
        <x:v>GitHub月榜24-26</x:v>
      </x:c>
      <x:c r="T307" s="4" t="n">
        <x:v>305</x:v>
      </x:c>
      <x:c r="U307" s="4" t="str">
        <x:v>https://github.com/microsoft/vscode-copilot-chat</x:v>
      </x:c>
      <x:c r="V307" s="4" t="str">
        <x:v>microsoft/vscode-copilot-chat</x:v>
      </x:c>
    </x:row>
    <x:row r="308" ht="44" customHeight="1">
      <x:c r="A308" s="4" t="n">
        <x:v>303</x:v>
      </x:c>
      <x:c r="B308" s="4" t="str">
        <x:v>mihomo-party-org/mihomo-party</x:v>
      </x:c>
      <x:c r="C308" s="4" t="n">
        <x:v>3</x:v>
      </x:c>
      <x:c r="D308" s="4" t="str">
        <x:v>网络与通信协议</x:v>
      </x:c>
      <x:c r="E308" s="4" t="str">
        <x:v>本地证据分类</x:v>
      </x:c>
      <x:c r="F308" s="4" t="n">
        <x:v>1</x:v>
      </x:c>
      <x:c r="G308" s="4" t="str">
        <x:v>软件项目</x:v>
      </x:c>
      <x:c r="H308" s="4" t="str">
        <x:v>网络通信</x:v>
      </x:c>
      <x:c r="I308" s="4" t="str">
        <x:v>桌面、TUI 与跨端应用</x:v>
      </x:c>
      <x:c r="J308" s="4" t="str">
        <x:v>JavaScript/TypeScript</x:v>
      </x:c>
      <x:c r="K308" s="4" t="str">
        <x:v>未获取</x:v>
      </x:c>
      <x:c r="L308" s="4" t="str">
        <x:v>未记录</x:v>
      </x:c>
      <x:c r="M308" s="4" t="n">
        <x:v>47</x:v>
      </x:c>
      <x:c r="N308" s="4" t="n">
        <x:v>47</x:v>
      </x:c>
      <x:c r="O308" s="4" t="n">
        <x:v>41</x:v>
      </x:c>
      <x:c r="P308" s="9" t="n">
        <x:v>0.8723404255319149</x:v>
      </x:c>
      <x:c r="Q308" s="4"/>
      <x:c r="R308" s="4" t="str">
        <x:v>项目名称/框架的明确功能定位；未逐一在线核验README</x:v>
      </x:c>
      <x:c r="S308" s="4" t="str">
        <x:v>GitHub月榜24-26</x:v>
      </x:c>
      <x:c r="T308" s="4" t="n">
        <x:v>306</x:v>
      </x:c>
      <x:c r="U308" s="4" t="str">
        <x:v>https://github.com/mihomo-party-org/mihomo-party</x:v>
      </x:c>
      <x:c r="V308" s="4" t="str">
        <x:v>mihomo-party-org/mihomo-party</x:v>
      </x:c>
    </x:row>
    <x:row r="309" ht="44" customHeight="1">
      <x:c r="A309" s="4" t="n">
        <x:v>304</x:v>
      </x:c>
      <x:c r="B309" s="4" t="str">
        <x:v>mikeroyal/Self-Hosting-Guide</x:v>
      </x:c>
      <x:c r="C309" s="4"/>
      <x:c r="D309" s="4" t="str">
        <x:v>未归入15类</x:v>
      </x:c>
      <x:c r="E309" s="4" t="str">
        <x:v>范围排除</x:v>
      </x:c>
      <x:c r="F309" s="4" t="n">
        <x:v>0</x:v>
      </x:c>
      <x:c r="G309" s="4" t="str">
        <x:v>教程/资源/技能资产</x:v>
      </x:c>
      <x:c r="H309" s="4" t="str">
        <x:v>知识/数据资产</x:v>
      </x:c>
      <x:c r="I309" s="4" t="str">
        <x:v>当前页面未列入</x:v>
      </x:c>
      <x:c r="J309" s="4" t="str">
        <x:v>未记录</x:v>
      </x:c>
      <x:c r="K309" s="4" t="str">
        <x:v>未获取</x:v>
      </x:c>
      <x:c r="L309" s="4" t="str">
        <x:v>未记录</x:v>
      </x:c>
      <x:c r="M309" s="4" t="n">
        <x:v>0</x:v>
      </x:c>
      <x:c r="N309" s="4"/>
      <x:c r="O309" s="4"/>
      <x:c r="P309" s="9"/>
      <x:c r="Q309" s="4"/>
      <x:c r="R309" s="4" t="str">
        <x:v>按项目名称与已获取定位识别为知识、数据或技能资源；非独立软件能力证据</x:v>
      </x:c>
      <x:c r="S309" s="4" t="str">
        <x:v>GitHub月榜24-26</x:v>
      </x:c>
      <x:c r="T309" s="4" t="n">
        <x:v>307</x:v>
      </x:c>
      <x:c r="U309" s="4" t="str">
        <x:v>https://github.com/mikeroyal/Self-Hosting-Guide</x:v>
      </x:c>
      <x:c r="V309" s="4" t="str">
        <x:v>mikeroyal/self-hosting-guide</x:v>
      </x:c>
    </x:row>
    <x:row r="310" ht="44" customHeight="1">
      <x:c r="A310" s="4" t="n">
        <x:v>305</x:v>
      </x:c>
      <x:c r="B310" s="4" t="str">
        <x:v>mindsdb/mindsdb</x:v>
      </x:c>
      <x:c r="C310" s="4" t="n">
        <x:v>5</x:v>
      </x:c>
      <x:c r="D310" s="4" t="str">
        <x:v>数据库、存储与检索</x:v>
      </x:c>
      <x:c r="E310" s="4" t="str">
        <x:v>本地证据分类</x:v>
      </x:c>
      <x:c r="F310" s="4" t="n">
        <x:v>1</x:v>
      </x:c>
      <x:c r="G310" s="4" t="str">
        <x:v>软件项目</x:v>
      </x:c>
      <x:c r="H310" s="4" t="str">
        <x:v>数据管理/数据库工具</x:v>
      </x:c>
      <x:c r="I310" s="4" t="str">
        <x:v>当前页面未列入</x:v>
      </x:c>
      <x:c r="J310" s="4" t="str">
        <x:v>未记录</x:v>
      </x:c>
      <x:c r="K310" s="4" t="str">
        <x:v>未获取</x:v>
      </x:c>
      <x:c r="L310" s="4" t="str">
        <x:v>未记录</x:v>
      </x:c>
      <x:c r="M310" s="4" t="n">
        <x:v>0</x:v>
      </x:c>
      <x:c r="N310" s="4"/>
      <x:c r="O310" s="4"/>
      <x:c r="P310" s="9"/>
      <x:c r="Q310" s="4"/>
      <x:c r="R310" s="4" t="str">
        <x:v>项目名称/框架的明确功能定位；未逐一在线核验README</x:v>
      </x:c>
      <x:c r="S310" s="4" t="str">
        <x:v>GitHub月榜24-26</x:v>
      </x:c>
      <x:c r="T310" s="4" t="n">
        <x:v>308</x:v>
      </x:c>
      <x:c r="U310" s="4" t="str">
        <x:v>https://github.com/mindsdb/mindsdb</x:v>
      </x:c>
      <x:c r="V310" s="4" t="str">
        <x:v>mindsdb/mindsdb</x:v>
      </x:c>
    </x:row>
    <x:row r="311" ht="44" customHeight="1">
      <x:c r="A311" s="4" t="n">
        <x:v>306</x:v>
      </x:c>
      <x:c r="B311" s="4" t="str">
        <x:v>mingrammer/diagrams</x:v>
      </x:c>
      <x:c r="C311" s="4" t="n">
        <x:v>9</x:v>
      </x:c>
      <x:c r="D311" s="4" t="str">
        <x:v>图形、多媒体与实时应用</x:v>
      </x:c>
      <x:c r="E311" s="4" t="str">
        <x:v>本地证据分类</x:v>
      </x:c>
      <x:c r="F311" s="4" t="n">
        <x:v>1</x:v>
      </x:c>
      <x:c r="G311" s="4" t="str">
        <x:v>软件项目</x:v>
      </x:c>
      <x:c r="H311" s="4" t="str">
        <x:v>媒体/图形应用</x:v>
      </x:c>
      <x:c r="I311" s="4" t="str">
        <x:v>行业与其他应用</x:v>
      </x:c>
      <x:c r="J311" s="4" t="str">
        <x:v>Python</x:v>
      </x:c>
      <x:c r="K311" s="4" t="str">
        <x:v>未获取</x:v>
      </x:c>
      <x:c r="L311" s="4" t="str">
        <x:v>未记录</x:v>
      </x:c>
      <x:c r="M311" s="4" t="n">
        <x:v>3</x:v>
      </x:c>
      <x:c r="N311" s="4" t="n">
        <x:v>3</x:v>
      </x:c>
      <x:c r="O311" s="4" t="n">
        <x:v>2</x:v>
      </x:c>
      <x:c r="P311" s="9" t="n">
        <x:v>0.6666666666666666</x:v>
      </x:c>
      <x:c r="Q311" s="4"/>
      <x:c r="R311" s="4" t="str">
        <x:v>项目名称/框架的明确功能定位；未逐一在线核验README</x:v>
      </x:c>
      <x:c r="S311" s="4" t="str">
        <x:v>GitHub月榜24-26</x:v>
      </x:c>
      <x:c r="T311" s="4" t="n">
        <x:v>309</x:v>
      </x:c>
      <x:c r="U311" s="4" t="str">
        <x:v>https://github.com/mingrammer/diagrams</x:v>
      </x:c>
      <x:c r="V311" s="4" t="str">
        <x:v>mingrammer/diagrams</x:v>
      </x:c>
    </x:row>
    <x:row r="312" ht="44" customHeight="1">
      <x:c r="A312" s="4" t="n">
        <x:v>307</x:v>
      </x:c>
      <x:c r="B312" s="4" t="str">
        <x:v>minio/minio</x:v>
      </x:c>
      <x:c r="C312" s="4" t="n">
        <x:v>5</x:v>
      </x:c>
      <x:c r="D312" s="4" t="str">
        <x:v>数据库、存储与检索</x:v>
      </x:c>
      <x:c r="E312" s="4" t="str">
        <x:v>本地证据分类</x:v>
      </x:c>
      <x:c r="F312" s="4" t="n">
        <x:v>1</x:v>
      </x:c>
      <x:c r="G312" s="4" t="str">
        <x:v>软件项目</x:v>
      </x:c>
      <x:c r="H312" s="4" t="str">
        <x:v>数据服务</x:v>
      </x:c>
      <x:c r="I312" s="4" t="str">
        <x:v>数据库、存储与中间件</x:v>
      </x:c>
      <x:c r="J312" s="4" t="str">
        <x:v>Go</x:v>
      </x:c>
      <x:c r="K312" s="4" t="str">
        <x:v>未获取</x:v>
      </x:c>
      <x:c r="L312" s="4" t="str">
        <x:v>未记录</x:v>
      </x:c>
      <x:c r="M312" s="4" t="n">
        <x:v>258</x:v>
      </x:c>
      <x:c r="N312" s="4" t="n">
        <x:v>258</x:v>
      </x:c>
      <x:c r="O312" s="4" t="n">
        <x:v>0</x:v>
      </x:c>
      <x:c r="P312" s="9" t="n">
        <x:v>0</x:v>
      </x:c>
      <x:c r="Q312" s="4"/>
      <x:c r="R312" s="4" t="str">
        <x:v>项目名称/框架的明确功能定位；未逐一在线核验README</x:v>
      </x:c>
      <x:c r="S312" s="4" t="str">
        <x:v>GitHub月榜24-26</x:v>
      </x:c>
      <x:c r="T312" s="4" t="n">
        <x:v>310</x:v>
      </x:c>
      <x:c r="U312" s="4" t="str">
        <x:v>https://github.com/minio/minio</x:v>
      </x:c>
      <x:c r="V312" s="4" t="str">
        <x:v>minio/minio</x:v>
      </x:c>
    </x:row>
    <x:row r="313" ht="44" customHeight="1">
      <x:c r="A313" s="4" t="n">
        <x:v>308</x:v>
      </x:c>
      <x:c r="B313" s="4" t="str">
        <x:v>ml-tooling/best-of-ml-python</x:v>
      </x:c>
      <x:c r="C313" s="4"/>
      <x:c r="D313" s="4" t="str">
        <x:v>未归入15类</x:v>
      </x:c>
      <x:c r="E313" s="4" t="str">
        <x:v>范围排除</x:v>
      </x:c>
      <x:c r="F313" s="4" t="n">
        <x:v>0</x:v>
      </x:c>
      <x:c r="G313" s="4" t="str">
        <x:v>教程/资源/技能资产</x:v>
      </x:c>
      <x:c r="H313" s="4" t="str">
        <x:v>知识/数据资产</x:v>
      </x:c>
      <x:c r="I313" s="4" t="str">
        <x:v>当前页面未列入</x:v>
      </x:c>
      <x:c r="J313" s="4" t="str">
        <x:v>未记录</x:v>
      </x:c>
      <x:c r="K313" s="4" t="str">
        <x:v>未获取</x:v>
      </x:c>
      <x:c r="L313" s="4" t="str">
        <x:v>未记录</x:v>
      </x:c>
      <x:c r="M313" s="4" t="n">
        <x:v>0</x:v>
      </x:c>
      <x:c r="N313" s="4"/>
      <x:c r="O313" s="4"/>
      <x:c r="P313" s="9"/>
      <x:c r="Q313" s="4"/>
      <x:c r="R313" s="4" t="str">
        <x:v>按项目名称与已获取定位识别为知识、数据或技能资源；非独立软件能力证据</x:v>
      </x:c>
      <x:c r="S313" s="4" t="str">
        <x:v>GitHub月榜24-26</x:v>
      </x:c>
      <x:c r="T313" s="4" t="n">
        <x:v>311</x:v>
      </x:c>
      <x:c r="U313" s="4" t="str">
        <x:v>https://github.com/ml-tooling/best-of-ml-python</x:v>
      </x:c>
      <x:c r="V313" s="4" t="str">
        <x:v>ml-tooling/best-of-ml-python</x:v>
      </x:c>
    </x:row>
    <x:row r="314" ht="44" customHeight="1">
      <x:c r="A314" s="4" t="n">
        <x:v>309</x:v>
      </x:c>
      <x:c r="B314" s="4" t="str">
        <x:v>mlabonne/llm-course</x:v>
      </x:c>
      <x:c r="C314" s="4"/>
      <x:c r="D314" s="4" t="str">
        <x:v>未归入15类</x:v>
      </x:c>
      <x:c r="E314" s="4" t="str">
        <x:v>范围排除</x:v>
      </x:c>
      <x:c r="F314" s="4" t="n">
        <x:v>0</x:v>
      </x:c>
      <x:c r="G314" s="4" t="str">
        <x:v>教程/资源/技能资产</x:v>
      </x:c>
      <x:c r="H314" s="4" t="str">
        <x:v>知识/数据资产</x:v>
      </x:c>
      <x:c r="I314" s="4" t="str">
        <x:v>当前页面未列入</x:v>
      </x:c>
      <x:c r="J314" s="4" t="str">
        <x:v>未记录</x:v>
      </x:c>
      <x:c r="K314" s="4" t="str">
        <x:v>未获取</x:v>
      </x:c>
      <x:c r="L314" s="4" t="str">
        <x:v>未记录</x:v>
      </x:c>
      <x:c r="M314" s="4" t="n">
        <x:v>0</x:v>
      </x:c>
      <x:c r="N314" s="4"/>
      <x:c r="O314" s="4"/>
      <x:c r="P314" s="9"/>
      <x:c r="Q314" s="4"/>
      <x:c r="R314" s="4" t="str">
        <x:v>按项目名称与已获取定位识别为知识、数据或技能资源；非独立软件能力证据</x:v>
      </x:c>
      <x:c r="S314" s="4" t="str">
        <x:v>GitHub月榜24-26</x:v>
      </x:c>
      <x:c r="T314" s="4" t="n">
        <x:v>312</x:v>
      </x:c>
      <x:c r="U314" s="4" t="str">
        <x:v>https://github.com/mlabonne/llm-course</x:v>
      </x:c>
      <x:c r="V314" s="4" t="str">
        <x:v>mlabonne/llm-course</x:v>
      </x:c>
    </x:row>
    <x:row r="315" ht="44" customHeight="1">
      <x:c r="A315" s="4" t="n">
        <x:v>310</x:v>
      </x:c>
      <x:c r="B315" s="4" t="str">
        <x:v>modelcontextprotocol/servers</x:v>
      </x:c>
      <x:c r="C315" s="4" t="n">
        <x:v>13</x:v>
      </x:c>
      <x:c r="D315" s="4" t="str">
        <x:v>Agent编排与工具执行</x:v>
      </x:c>
      <x:c r="E315" s="4" t="str">
        <x:v>本地证据分类</x:v>
      </x:c>
      <x:c r="F315" s="4" t="n">
        <x:v>1</x:v>
      </x:c>
      <x:c r="G315" s="4" t="str">
        <x:v>软件项目</x:v>
      </x:c>
      <x:c r="H315" s="4" t="str">
        <x:v>Agent编排/工具服务</x:v>
      </x:c>
      <x:c r="I315" s="4" t="str">
        <x:v>当前页面未列入</x:v>
      </x:c>
      <x:c r="J315" s="4" t="str">
        <x:v>未记录</x:v>
      </x:c>
      <x:c r="K315" s="4" t="str">
        <x:v>未获取</x:v>
      </x:c>
      <x:c r="L315" s="4" t="str">
        <x:v>未记录</x:v>
      </x:c>
      <x:c r="M315" s="4" t="n">
        <x:v>0</x:v>
      </x:c>
      <x:c r="N315" s="4"/>
      <x:c r="O315" s="4"/>
      <x:c r="P315" s="9"/>
      <x:c r="Q315" s="4"/>
      <x:c r="R315" s="4" t="str">
        <x:v>项目名称/框架的明确功能定位；未逐一在线核验README</x:v>
      </x:c>
      <x:c r="S315" s="4" t="str">
        <x:v>GitHub月榜24-26</x:v>
      </x:c>
      <x:c r="T315" s="4" t="n">
        <x:v>313</x:v>
      </x:c>
      <x:c r="U315" s="4" t="str">
        <x:v>https://github.com/modelcontextprotocol/servers</x:v>
      </x:c>
      <x:c r="V315" s="4" t="str">
        <x:v>modelcontextprotocol/servers</x:v>
      </x:c>
    </x:row>
    <x:row r="316" ht="44" customHeight="1">
      <x:c r="A316" s="4" t="n">
        <x:v>311</x:v>
      </x:c>
      <x:c r="B316" s="4" t="str">
        <x:v>moeru-ai/airi</x:v>
      </x:c>
      <x:c r="C316" s="4" t="n">
        <x:v>13</x:v>
      </x:c>
      <x:c r="D316" s="4" t="str">
        <x:v>Agent编排与工具执行</x:v>
      </x:c>
      <x:c r="E316" s="4" t="str">
        <x:v>本地证据分类</x:v>
      </x:c>
      <x:c r="F316" s="4" t="n">
        <x:v>1</x:v>
      </x:c>
      <x:c r="G316" s="4" t="str">
        <x:v>软件项目</x:v>
      </x:c>
      <x:c r="H316" s="4" t="str">
        <x:v>Agent/模型与工具</x:v>
      </x:c>
      <x:c r="I316" s="4" t="str">
        <x:v>Agent 与 AI 应用</x:v>
      </x:c>
      <x:c r="J316" s="4" t="str">
        <x:v>JavaScript/TypeScript</x:v>
      </x:c>
      <x:c r="K316" s="4" t="str">
        <x:v>未获取</x:v>
      </x:c>
      <x:c r="L316" s="4" t="str">
        <x:v>未记录</x:v>
      </x:c>
      <x:c r="M316" s="4" t="n">
        <x:v>27</x:v>
      </x:c>
      <x:c r="N316" s="4" t="n">
        <x:v>27</x:v>
      </x:c>
      <x:c r="O316" s="4" t="n">
        <x:v>11</x:v>
      </x:c>
      <x:c r="P316" s="9" t="n">
        <x:v>0.4074074074074074</x:v>
      </x:c>
      <x:c r="Q316" s="4"/>
      <x:c r="R316" s="4" t="str">
        <x:v>项目名称/框架的明确功能定位；未逐一在线核验README</x:v>
      </x:c>
      <x:c r="S316" s="4" t="str">
        <x:v>GitHub月榜24-26</x:v>
      </x:c>
      <x:c r="T316" s="4" t="n">
        <x:v>314</x:v>
      </x:c>
      <x:c r="U316" s="4" t="str">
        <x:v>https://github.com/moeru-ai/airi</x:v>
      </x:c>
      <x:c r="V316" s="4" t="str">
        <x:v>moeru-ai/airi</x:v>
      </x:c>
    </x:row>
    <x:row r="317" ht="44" customHeight="1">
      <x:c r="A317" s="4" t="n">
        <x:v>312</x:v>
      </x:c>
      <x:c r="B317" s="4" t="str">
        <x:v>mudler/LocalAI</x:v>
      </x:c>
      <x:c r="C317" s="4" t="n">
        <x:v>11</x:v>
      </x:c>
      <x:c r="D317" s="4" t="str">
        <x:v>AI模型与机器学习</x:v>
      </x:c>
      <x:c r="E317" s="4" t="str">
        <x:v>本地证据分类</x:v>
      </x:c>
      <x:c r="F317" s="4" t="n">
        <x:v>1</x:v>
      </x:c>
      <x:c r="G317" s="4" t="str">
        <x:v>软件项目</x:v>
      </x:c>
      <x:c r="H317" s="4" t="str">
        <x:v>AI模型/推理</x:v>
      </x:c>
      <x:c r="I317" s="4" t="str">
        <x:v>Agent 与 AI 应用</x:v>
      </x:c>
      <x:c r="J317" s="4" t="str">
        <x:v>Go</x:v>
      </x:c>
      <x:c r="K317" s="4" t="str">
        <x:v>未获取</x:v>
      </x:c>
      <x:c r="L317" s="4" t="str">
        <x:v>未记录</x:v>
      </x:c>
      <x:c r="M317" s="4" t="n">
        <x:v>513</x:v>
      </x:c>
      <x:c r="N317" s="4" t="n">
        <x:v>513</x:v>
      </x:c>
      <x:c r="O317" s="4" t="n">
        <x:v>0</x:v>
      </x:c>
      <x:c r="P317" s="9" t="n">
        <x:v>0</x:v>
      </x:c>
      <x:c r="Q317" s="4"/>
      <x:c r="R317" s="4" t="str">
        <x:v>项目名称/框架的明确功能定位；未逐一在线核验README</x:v>
      </x:c>
      <x:c r="S317" s="4" t="str">
        <x:v>GitHub月榜24-26</x:v>
      </x:c>
      <x:c r="T317" s="4" t="n">
        <x:v>315</x:v>
      </x:c>
      <x:c r="U317" s="4" t="str">
        <x:v>https://github.com/mudler/LocalAI</x:v>
      </x:c>
      <x:c r="V317" s="4" t="str">
        <x:v>mudler/localai</x:v>
      </x:c>
    </x:row>
    <x:row r="318" ht="44" customHeight="1">
      <x:c r="A318" s="4" t="n">
        <x:v>313</x:v>
      </x:c>
      <x:c r="B318" s="4" t="str">
        <x:v>mukul975/Anthropic-Cybersecurity-Skills</x:v>
      </x:c>
      <x:c r="C318" s="4"/>
      <x:c r="D318" s="4" t="str">
        <x:v>未归入15类</x:v>
      </x:c>
      <x:c r="E318" s="4" t="str">
        <x:v>范围排除</x:v>
      </x:c>
      <x:c r="F318" s="4" t="n">
        <x:v>0</x:v>
      </x:c>
      <x:c r="G318" s="4" t="str">
        <x:v>教程/资源/技能资产</x:v>
      </x:c>
      <x:c r="H318" s="4" t="str">
        <x:v>Agent资源（不等于运行时）</x:v>
      </x:c>
      <x:c r="I318" s="4" t="str">
        <x:v>当前页面未列入</x:v>
      </x:c>
      <x:c r="J318" s="4" t="str">
        <x:v>未记录</x:v>
      </x:c>
      <x:c r="K318" s="4" t="str">
        <x:v>未获取</x:v>
      </x:c>
      <x:c r="L318" s="4" t="str">
        <x:v>未记录</x:v>
      </x:c>
      <x:c r="M318" s="4" t="n">
        <x:v>0</x:v>
      </x:c>
      <x:c r="N318" s="4"/>
      <x:c r="O318" s="4"/>
      <x:c r="P318" s="9"/>
      <x:c r="Q318" s="4"/>
      <x:c r="R318" s="4" t="str">
        <x:v>按项目名称与已获取定位识别为知识、数据或技能资源；非独立软件能力证据</x:v>
      </x:c>
      <x:c r="S318" s="4" t="str">
        <x:v>GitHub月榜24-26</x:v>
      </x:c>
      <x:c r="T318" s="4" t="n">
        <x:v>316</x:v>
      </x:c>
      <x:c r="U318" s="4" t="str">
        <x:v>https://github.com/mukul975/Anthropic-Cybersecurity-Skills</x:v>
      </x:c>
      <x:c r="V318" s="4" t="str">
        <x:v>mukul975/anthropic-cybersecurity-skills</x:v>
      </x:c>
    </x:row>
    <x:row r="319" ht="44" customHeight="1">
      <x:c r="A319" s="4" t="n">
        <x:v>314</x:v>
      </x:c>
      <x:c r="B319" s="4" t="str">
        <x:v>multica-ai/multica</x:v>
      </x:c>
      <x:c r="C319" s="4" t="n">
        <x:v>14</x:v>
      </x:c>
      <x:c r="D319" s="4" t="str">
        <x:v>软件构建、开发与测试</x:v>
      </x:c>
      <x:c r="E319" s="4" t="str">
        <x:v>本地证据分类</x:v>
      </x:c>
      <x:c r="F319" s="4" t="n">
        <x:v>1</x:v>
      </x:c>
      <x:c r="G319" s="4" t="str">
        <x:v>软件项目</x:v>
      </x:c>
      <x:c r="H319" s="4" t="str">
        <x:v>软件工程；编程Agent需额外挂13标签</x:v>
      </x:c>
      <x:c r="I319" s="4" t="str">
        <x:v>当前页面未列入</x:v>
      </x:c>
      <x:c r="J319" s="4" t="str">
        <x:v>未记录</x:v>
      </x:c>
      <x:c r="K319" s="4" t="str">
        <x:v>未获取</x:v>
      </x:c>
      <x:c r="L319" s="4" t="str">
        <x:v>未记录</x:v>
      </x:c>
      <x:c r="M319" s="4" t="n">
        <x:v>0</x:v>
      </x:c>
      <x:c r="N319" s="4"/>
      <x:c r="O319" s="4"/>
      <x:c r="P319" s="9"/>
      <x:c r="Q319" s="4"/>
      <x:c r="R319" s="4" t="str">
        <x:v>项目名称/框架的明确功能定位；未逐一在线核验README</x:v>
      </x:c>
      <x:c r="S319" s="4" t="str">
        <x:v>GitHub月榜24-26</x:v>
      </x:c>
      <x:c r="T319" s="4" t="n">
        <x:v>317</x:v>
      </x:c>
      <x:c r="U319" s="4" t="str">
        <x:v>https://github.com/multica-ai/multica</x:v>
      </x:c>
      <x:c r="V319" s="4" t="str">
        <x:v>multica-ai/multica</x:v>
      </x:c>
    </x:row>
    <x:row r="320" ht="44" customHeight="1">
      <x:c r="A320" s="4" t="n">
        <x:v>315</x:v>
      </x:c>
      <x:c r="B320" s="4" t="str">
        <x:v>mvanhorn/last30days-skill</x:v>
      </x:c>
      <x:c r="C320" s="4"/>
      <x:c r="D320" s="4" t="str">
        <x:v>未归入15类</x:v>
      </x:c>
      <x:c r="E320" s="4" t="str">
        <x:v>范围排除</x:v>
      </x:c>
      <x:c r="F320" s="4" t="n">
        <x:v>0</x:v>
      </x:c>
      <x:c r="G320" s="4" t="str">
        <x:v>教程/资源/技能资产</x:v>
      </x:c>
      <x:c r="H320" s="4" t="str">
        <x:v>Agent资源（不等于运行时）</x:v>
      </x:c>
      <x:c r="I320" s="4" t="str">
        <x:v>当前页面未列入</x:v>
      </x:c>
      <x:c r="J320" s="4" t="str">
        <x:v>未记录</x:v>
      </x:c>
      <x:c r="K320" s="4" t="str">
        <x:v>未获取</x:v>
      </x:c>
      <x:c r="L320" s="4" t="str">
        <x:v>未记录</x:v>
      </x:c>
      <x:c r="M320" s="4" t="n">
        <x:v>0</x:v>
      </x:c>
      <x:c r="N320" s="4"/>
      <x:c r="O320" s="4"/>
      <x:c r="P320" s="9"/>
      <x:c r="Q320" s="4"/>
      <x:c r="R320" s="4" t="str">
        <x:v>按项目名称与已获取定位识别为知识、数据或技能资源；非独立软件能力证据</x:v>
      </x:c>
      <x:c r="S320" s="4" t="str">
        <x:v>GitHub月榜24-26</x:v>
      </x:c>
      <x:c r="T320" s="4" t="n">
        <x:v>318</x:v>
      </x:c>
      <x:c r="U320" s="4" t="str">
        <x:v>https://github.com/mvanhorn/last30days-skill</x:v>
      </x:c>
      <x:c r="V320" s="4" t="str">
        <x:v>mvanhorn/last30days-skill</x:v>
      </x:c>
    </x:row>
    <x:row r="321" ht="44" customHeight="1">
      <x:c r="A321" s="4" t="n">
        <x:v>316</x:v>
      </x:c>
      <x:c r="B321" s="4" t="str">
        <x:v>n8n-io/n8n</x:v>
      </x:c>
      <x:c r="C321" s="4" t="n">
        <x:v>6</x:v>
      </x:c>
      <x:c r="D321" s="4" t="str">
        <x:v>后端服务与业务流程</x:v>
      </x:c>
      <x:c r="E321" s="4" t="str">
        <x:v>元数据已核验</x:v>
      </x:c>
      <x:c r="F321" s="4" t="n">
        <x:v>1</x:v>
      </x:c>
      <x:c r="G321" s="4" t="str">
        <x:v>软件项目</x:v>
      </x:c>
      <x:c r="H321" s="4" t="str">
        <x:v>业务应用/确定性工作流</x:v>
      </x:c>
      <x:c r="I321" s="4" t="str">
        <x:v>桌面、TUI 与跨端应用</x:v>
      </x:c>
      <x:c r="J321" s="4" t="str">
        <x:v>JavaScript/TypeScript</x:v>
      </x:c>
      <x:c r="K321" s="4" t="str">
        <x:v>TypeScript</x:v>
      </x:c>
      <x:c r="L321" s="4" t="str">
        <x:v>未记录</x:v>
      </x:c>
      <x:c r="M321" s="4" t="n">
        <x:v>16</x:v>
      </x:c>
      <x:c r="N321" s="4" t="n">
        <x:v>16</x:v>
      </x:c>
      <x:c r="O321" s="4" t="n">
        <x:v>12</x:v>
      </x:c>
      <x:c r="P321" s="9" t="n">
        <x:v>0.75</x:v>
      </x:c>
      <x:c r="Q321" s="4"/>
      <x:c r="R321" s="4" t="str">
        <x:v>项目定位与GitHub描述人工对照</x:v>
      </x:c>
      <x:c r="S321" s="4" t="str">
        <x:v>GitHub月榜24-26</x:v>
      </x:c>
      <x:c r="T321" s="4" t="n">
        <x:v>319</x:v>
      </x:c>
      <x:c r="U321" s="4" t="str">
        <x:v>https://github.com/n8n-io/n8n</x:v>
      </x:c>
      <x:c r="V321" s="4" t="str">
        <x:v>n8n-io/n8n</x:v>
      </x:c>
    </x:row>
    <x:row r="322" ht="44" customHeight="1">
      <x:c r="A322" s="4" t="n">
        <x:v>317</x:v>
      </x:c>
      <x:c r="B322" s="4" t="str">
        <x:v>nautechsystems/nautilus_trader</x:v>
      </x:c>
      <x:c r="C322" s="4" t="n">
        <x:v>8</x:v>
      </x:c>
      <x:c r="D322" s="4" t="str">
        <x:v>数据处理与科学计算</x:v>
      </x:c>
      <x:c r="E322" s="4" t="str">
        <x:v>本地证据分类</x:v>
      </x:c>
      <x:c r="F322" s="4" t="n">
        <x:v>1</x:v>
      </x:c>
      <x:c r="G322" s="4" t="str">
        <x:v>软件项目</x:v>
      </x:c>
      <x:c r="H322" s="4" t="str">
        <x:v>数据/行业分析</x:v>
      </x:c>
      <x:c r="I322" s="4" t="str">
        <x:v>当前页面未列入</x:v>
      </x:c>
      <x:c r="J322" s="4" t="str">
        <x:v>未记录</x:v>
      </x:c>
      <x:c r="K322" s="4" t="str">
        <x:v>未获取</x:v>
      </x:c>
      <x:c r="L322" s="4" t="str">
        <x:v>未记录</x:v>
      </x:c>
      <x:c r="M322" s="4" t="n">
        <x:v>0</x:v>
      </x:c>
      <x:c r="N322" s="4"/>
      <x:c r="O322" s="4"/>
      <x:c r="P322" s="9"/>
      <x:c r="Q322" s="4"/>
      <x:c r="R322" s="4" t="str">
        <x:v>项目名称/框架的明确功能定位；未逐一在线核验README</x:v>
      </x:c>
      <x:c r="S322" s="4" t="str">
        <x:v>GitHub月榜24-26</x:v>
      </x:c>
      <x:c r="T322" s="4" t="n">
        <x:v>320</x:v>
      </x:c>
      <x:c r="U322" s="4" t="str">
        <x:v>https://github.com/nautechsystems/nautilus_trader</x:v>
      </x:c>
      <x:c r="V322" s="4" t="str">
        <x:v>nautechsystems/nautilus_trader</x:v>
      </x:c>
    </x:row>
    <x:row r="323" ht="44" customHeight="1">
      <x:c r="A323" s="4" t="n">
        <x:v>318</x:v>
      </x:c>
      <x:c r="B323" s="4" t="str">
        <x:v>neondatabase/neon</x:v>
      </x:c>
      <x:c r="C323" s="4" t="n">
        <x:v>5</x:v>
      </x:c>
      <x:c r="D323" s="4" t="str">
        <x:v>数据库、存储与检索</x:v>
      </x:c>
      <x:c r="E323" s="4" t="str">
        <x:v>本地证据分类</x:v>
      </x:c>
      <x:c r="F323" s="4" t="n">
        <x:v>1</x:v>
      </x:c>
      <x:c r="G323" s="4" t="str">
        <x:v>软件项目</x:v>
      </x:c>
      <x:c r="H323" s="4" t="str">
        <x:v>数据服务</x:v>
      </x:c>
      <x:c r="I323" s="4" t="str">
        <x:v>数据库、存储与中间件</x:v>
      </x:c>
      <x:c r="J323" s="4" t="str">
        <x:v>Python</x:v>
      </x:c>
      <x:c r="K323" s="4" t="str">
        <x:v>未获取</x:v>
      </x:c>
      <x:c r="L323" s="4" t="str">
        <x:v>未记录</x:v>
      </x:c>
      <x:c r="M323" s="4" t="n">
        <x:v>41</x:v>
      </x:c>
      <x:c r="N323" s="4" t="n">
        <x:v>41</x:v>
      </x:c>
      <x:c r="O323" s="4" t="n">
        <x:v>27</x:v>
      </x:c>
      <x:c r="P323" s="9" t="n">
        <x:v>0.6585365853658537</x:v>
      </x:c>
      <x:c r="Q323" s="4"/>
      <x:c r="R323" s="4" t="str">
        <x:v>项目名称/框架的明确功能定位；未逐一在线核验README</x:v>
      </x:c>
      <x:c r="S323" s="4" t="str">
        <x:v>GitHub月榜24-26</x:v>
      </x:c>
      <x:c r="T323" s="4" t="n">
        <x:v>321</x:v>
      </x:c>
      <x:c r="U323" s="4" t="str">
        <x:v>https://github.com/neondatabase/neon</x:v>
      </x:c>
      <x:c r="V323" s="4" t="str">
        <x:v>neondatabase/neon</x:v>
      </x:c>
    </x:row>
    <x:row r="324" ht="44" customHeight="1">
      <x:c r="A324" s="4" t="n">
        <x:v>319</x:v>
      </x:c>
      <x:c r="B324" s="4" t="str">
        <x:v>nicbarker/clay</x:v>
      </x:c>
      <x:c r="C324" s="4" t="n">
        <x:v>7</x:v>
      </x:c>
      <x:c r="D324" s="4" t="str">
        <x:v>用户界面与交互</x:v>
      </x:c>
      <x:c r="E324" s="4" t="str">
        <x:v>本地证据分类</x:v>
      </x:c>
      <x:c r="F324" s="4" t="n">
        <x:v>1</x:v>
      </x:c>
      <x:c r="G324" s="4" t="str">
        <x:v>软件项目</x:v>
      </x:c>
      <x:c r="H324" s="4" t="str">
        <x:v>UI框架</x:v>
      </x:c>
      <x:c r="I324" s="4" t="str">
        <x:v>当前页面未列入</x:v>
      </x:c>
      <x:c r="J324" s="4" t="str">
        <x:v>未记录</x:v>
      </x:c>
      <x:c r="K324" s="4" t="str">
        <x:v>未获取</x:v>
      </x:c>
      <x:c r="L324" s="4" t="str">
        <x:v>未记录</x:v>
      </x:c>
      <x:c r="M324" s="4" t="n">
        <x:v>0</x:v>
      </x:c>
      <x:c r="N324" s="4"/>
      <x:c r="O324" s="4"/>
      <x:c r="P324" s="9"/>
      <x:c r="Q324" s="4"/>
      <x:c r="R324" s="4" t="str">
        <x:v>项目名称/框架的明确功能定位；未逐一在线核验README</x:v>
      </x:c>
      <x:c r="S324" s="4" t="str">
        <x:v>GitHub月榜24-26</x:v>
      </x:c>
      <x:c r="T324" s="4" t="n">
        <x:v>322</x:v>
      </x:c>
      <x:c r="U324" s="4" t="str">
        <x:v>https://github.com/nicbarker/clay</x:v>
      </x:c>
      <x:c r="V324" s="4" t="str">
        <x:v>nicbarker/clay</x:v>
      </x:c>
    </x:row>
    <x:row r="325" ht="44" customHeight="1">
      <x:c r="A325" s="4" t="n">
        <x:v>320</x:v>
      </x:c>
      <x:c r="B325" s="4" t="str">
        <x:v>nocobase/nocobase</x:v>
      </x:c>
      <x:c r="C325" s="4" t="n">
        <x:v>6</x:v>
      </x:c>
      <x:c r="D325" s="4" t="str">
        <x:v>后端服务与业务流程</x:v>
      </x:c>
      <x:c r="E325" s="4" t="str">
        <x:v>本地证据分类</x:v>
      </x:c>
      <x:c r="F325" s="4" t="n">
        <x:v>1</x:v>
      </x:c>
      <x:c r="G325" s="4" t="str">
        <x:v>软件项目</x:v>
      </x:c>
      <x:c r="H325" s="4" t="str">
        <x:v>业务应用/确定性工作流</x:v>
      </x:c>
      <x:c r="I325" s="4" t="str">
        <x:v>Web 与业务服务</x:v>
      </x:c>
      <x:c r="J325" s="4" t="str">
        <x:v>JavaScript/TypeScript</x:v>
      </x:c>
      <x:c r="K325" s="4" t="str">
        <x:v>未获取</x:v>
      </x:c>
      <x:c r="L325" s="4" t="str">
        <x:v>未记录</x:v>
      </x:c>
      <x:c r="M325" s="4" t="n">
        <x:v>13</x:v>
      </x:c>
      <x:c r="N325" s="4" t="n">
        <x:v>13</x:v>
      </x:c>
      <x:c r="O325" s="4" t="n">
        <x:v>10</x:v>
      </x:c>
      <x:c r="P325" s="9" t="n">
        <x:v>0.7692307692307693</x:v>
      </x:c>
      <x:c r="Q325" s="4"/>
      <x:c r="R325" s="4" t="str">
        <x:v>项目名称/框架的明确功能定位；未逐一在线核验README</x:v>
      </x:c>
      <x:c r="S325" s="4" t="str">
        <x:v>GitHub月榜24-26</x:v>
      </x:c>
      <x:c r="T325" s="4" t="n">
        <x:v>323</x:v>
      </x:c>
      <x:c r="U325" s="4" t="str">
        <x:v>https://github.com/nocobase/nocobase</x:v>
      </x:c>
      <x:c r="V325" s="4" t="str">
        <x:v>nocobase/nocobase</x:v>
      </x:c>
    </x:row>
    <x:row r="326" ht="44" customHeight="1">
      <x:c r="A326" s="4" t="n">
        <x:v>321</x:v>
      </x:c>
      <x:c r="B326" s="4" t="str">
        <x:v>nocodb/nocodb</x:v>
      </x:c>
      <x:c r="C326" s="4" t="n">
        <x:v>6</x:v>
      </x:c>
      <x:c r="D326" s="4" t="str">
        <x:v>后端服务与业务流程</x:v>
      </x:c>
      <x:c r="E326" s="4" t="str">
        <x:v>本地证据分类</x:v>
      </x:c>
      <x:c r="F326" s="4" t="n">
        <x:v>1</x:v>
      </x:c>
      <x:c r="G326" s="4" t="str">
        <x:v>软件项目</x:v>
      </x:c>
      <x:c r="H326" s="4" t="str">
        <x:v>业务应用/确定性工作流</x:v>
      </x:c>
      <x:c r="I326" s="4" t="str">
        <x:v>行业与其他应用</x:v>
      </x:c>
      <x:c r="J326" s="4" t="str">
        <x:v>JavaScript/TypeScript</x:v>
      </x:c>
      <x:c r="K326" s="4" t="str">
        <x:v>未获取</x:v>
      </x:c>
      <x:c r="L326" s="4" t="str">
        <x:v>未记录</x:v>
      </x:c>
      <x:c r="M326" s="4" t="n">
        <x:v>1</x:v>
      </x:c>
      <x:c r="N326" s="4" t="n">
        <x:v>1</x:v>
      </x:c>
      <x:c r="O326" s="4" t="n">
        <x:v>1</x:v>
      </x:c>
      <x:c r="P326" s="9" t="n">
        <x:v>1</x:v>
      </x:c>
      <x:c r="Q326" s="4"/>
      <x:c r="R326" s="4" t="str">
        <x:v>项目名称/框架的明确功能定位；未逐一在线核验README</x:v>
      </x:c>
      <x:c r="S326" s="4" t="str">
        <x:v>GitHub月榜24-26</x:v>
      </x:c>
      <x:c r="T326" s="4" t="n">
        <x:v>324</x:v>
      </x:c>
      <x:c r="U326" s="4" t="str">
        <x:v>https://github.com/nocodb/nocodb</x:v>
      </x:c>
      <x:c r="V326" s="4" t="str">
        <x:v>nocodb/nocodb</x:v>
      </x:c>
    </x:row>
    <x:row r="327" ht="44" customHeight="1">
      <x:c r="A327" s="4" t="n">
        <x:v>322</x:v>
      </x:c>
      <x:c r="B327" s="4" t="str">
        <x:v>obra/superpowers</x:v>
      </x:c>
      <x:c r="C327" s="4"/>
      <x:c r="D327" s="4" t="str">
        <x:v>未归入15类</x:v>
      </x:c>
      <x:c r="E327" s="4" t="str">
        <x:v>范围排除</x:v>
      </x:c>
      <x:c r="F327" s="4" t="n">
        <x:v>0</x:v>
      </x:c>
      <x:c r="G327" s="4" t="str">
        <x:v>教程/资源/技能资产</x:v>
      </x:c>
      <x:c r="H327" s="4" t="str">
        <x:v>Agent资源（不等于运行时）</x:v>
      </x:c>
      <x:c r="I327" s="4" t="str">
        <x:v>当前页面未列入</x:v>
      </x:c>
      <x:c r="J327" s="4" t="str">
        <x:v>未记录</x:v>
      </x:c>
      <x:c r="K327" s="4" t="str">
        <x:v>Shell</x:v>
      </x:c>
      <x:c r="L327" s="4" t="str">
        <x:v>未记录</x:v>
      </x:c>
      <x:c r="M327" s="4" t="n">
        <x:v>0</x:v>
      </x:c>
      <x:c r="N327" s="4"/>
      <x:c r="O327" s="4"/>
      <x:c r="P327" s="9"/>
      <x:c r="Q327" s="4"/>
      <x:c r="R327" s="4" t="str">
        <x:v>按项目名称与已获取定位识别为知识、数据或技能资源；非独立软件能力证据</x:v>
      </x:c>
      <x:c r="S327" s="4" t="str">
        <x:v>GitHub月榜24-26</x:v>
      </x:c>
      <x:c r="T327" s="4" t="n">
        <x:v>325</x:v>
      </x:c>
      <x:c r="U327" s="4" t="str">
        <x:v>https://github.com/obra/superpowers</x:v>
      </x:c>
      <x:c r="V327" s="4" t="str">
        <x:v>obra/superpowers</x:v>
      </x:c>
    </x:row>
    <x:row r="328" ht="44" customHeight="1">
      <x:c r="A328" s="4" t="n">
        <x:v>323</x:v>
      </x:c>
      <x:c r="B328" s="4" t="str">
        <x:v>ogulcancelik/herdr</x:v>
      </x:c>
      <x:c r="C328" s="4"/>
      <x:c r="D328" s="4" t="str">
        <x:v>未归入15类</x:v>
      </x:c>
      <x:c r="E328" s="4" t="str">
        <x:v>信息不足</x:v>
      </x:c>
      <x:c r="F328" s="4" t="n">
        <x:v>1</x:v>
      </x:c>
      <x:c r="G328" s="4" t="str">
        <x:v>待确认项目</x:v>
      </x:c>
      <x:c r="H328" s="4" t="str"/>
      <x:c r="I328" s="4" t="str">
        <x:v>行业与其他应用</x:v>
      </x:c>
      <x:c r="J328" s="4" t="str">
        <x:v>Rust</x:v>
      </x:c>
      <x:c r="K328" s="4" t="str">
        <x:v>未获取</x:v>
      </x:c>
      <x:c r="L328" s="4" t="str">
        <x:v>未记录</x:v>
      </x:c>
      <x:c r="M328" s="4" t="n">
        <x:v>24</x:v>
      </x:c>
      <x:c r="N328" s="4" t="n">
        <x:v>24</x:v>
      </x:c>
      <x:c r="O328" s="4" t="n">
        <x:v>2</x:v>
      </x:c>
      <x:c r="P328" s="9" t="n">
        <x:v>0.08333333333333333</x:v>
      </x:c>
      <x:c r="Q328" s="4"/>
      <x:c r="R328" s="4" t="str">
        <x:v>缺少明确功能描述，不按依赖或语言强行归类</x:v>
      </x:c>
      <x:c r="S328" s="4" t="str">
        <x:v>GitHub月榜24-26</x:v>
      </x:c>
      <x:c r="T328" s="4" t="n">
        <x:v>326</x:v>
      </x:c>
      <x:c r="U328" s="4" t="str">
        <x:v>https://github.com/ogulcancelik/herdr</x:v>
      </x:c>
      <x:c r="V328" s="4" t="str">
        <x:v>ogulcancelik/herdr</x:v>
      </x:c>
    </x:row>
    <x:row r="329" ht="44" customHeight="1">
      <x:c r="A329" s="4" t="n">
        <x:v>324</x:v>
      </x:c>
      <x:c r="B329" s="4" t="str">
        <x:v>ollama-webui/ollama-webui</x:v>
      </x:c>
      <x:c r="C329" s="4" t="n">
        <x:v>13</x:v>
      </x:c>
      <x:c r="D329" s="4" t="str">
        <x:v>Agent编排与工具执行</x:v>
      </x:c>
      <x:c r="E329" s="4" t="str">
        <x:v>本地证据分类</x:v>
      </x:c>
      <x:c r="F329" s="4" t="n">
        <x:v>1</x:v>
      </x:c>
      <x:c r="G329" s="4" t="str">
        <x:v>软件项目</x:v>
      </x:c>
      <x:c r="H329" s="4" t="str">
        <x:v>Agent/模型与工具</x:v>
      </x:c>
      <x:c r="I329" s="4" t="str">
        <x:v>Agent 与 AI 应用</x:v>
      </x:c>
      <x:c r="J329" s="4" t="str">
        <x:v>Python</x:v>
      </x:c>
      <x:c r="K329" s="4" t="str">
        <x:v>未获取</x:v>
      </x:c>
      <x:c r="L329" s="4" t="str">
        <x:v>未记录</x:v>
      </x:c>
      <x:c r="M329" s="4" t="n">
        <x:v>98</x:v>
      </x:c>
      <x:c r="N329" s="4" t="n">
        <x:v>98</x:v>
      </x:c>
      <x:c r="O329" s="4" t="n">
        <x:v>73</x:v>
      </x:c>
      <x:c r="P329" s="9" t="n">
        <x:v>0.7448979591836735</x:v>
      </x:c>
      <x:c r="Q329" s="4"/>
      <x:c r="R329" s="4" t="str">
        <x:v>项目名称/框架的明确功能定位；未逐一在线核验README</x:v>
      </x:c>
      <x:c r="S329" s="4" t="str">
        <x:v>GitHub月榜24-26</x:v>
      </x:c>
      <x:c r="T329" s="4" t="n">
        <x:v>327</x:v>
      </x:c>
      <x:c r="U329" s="4" t="str">
        <x:v>https://github.com/ollama-webui/ollama-webui</x:v>
      </x:c>
      <x:c r="V329" s="4" t="str">
        <x:v>ollama-webui/ollama-webui</x:v>
      </x:c>
    </x:row>
    <x:row r="330" ht="44" customHeight="1">
      <x:c r="A330" s="4" t="n">
        <x:v>325</x:v>
      </x:c>
      <x:c r="B330" s="4" t="str">
        <x:v>omnivore-app/omnivore</x:v>
      </x:c>
      <x:c r="C330" s="4" t="n">
        <x:v>10</x:v>
      </x:c>
      <x:c r="D330" s="4" t="str">
        <x:v>文档与办公数据处理</x:v>
      </x:c>
      <x:c r="E330" s="4" t="str">
        <x:v>本地证据分类</x:v>
      </x:c>
      <x:c r="F330" s="4" t="n">
        <x:v>1</x:v>
      </x:c>
      <x:c r="G330" s="4" t="str">
        <x:v>软件项目</x:v>
      </x:c>
      <x:c r="H330" s="4" t="str">
        <x:v>文档/知识内容</x:v>
      </x:c>
      <x:c r="I330" s="4" t="str">
        <x:v>Web 与业务服务</x:v>
      </x:c>
      <x:c r="J330" s="4" t="str">
        <x:v>JavaScript/TypeScript</x:v>
      </x:c>
      <x:c r="K330" s="4" t="str">
        <x:v>未获取</x:v>
      </x:c>
      <x:c r="L330" s="4" t="str">
        <x:v>未记录</x:v>
      </x:c>
      <x:c r="M330" s="4" t="n">
        <x:v>10</x:v>
      </x:c>
      <x:c r="N330" s="4" t="n">
        <x:v>10</x:v>
      </x:c>
      <x:c r="O330" s="4" t="n">
        <x:v>10</x:v>
      </x:c>
      <x:c r="P330" s="9" t="n">
        <x:v>1</x:v>
      </x:c>
      <x:c r="Q330" s="4"/>
      <x:c r="R330" s="4" t="str">
        <x:v>项目名称/框架的明确功能定位；未逐一在线核验README</x:v>
      </x:c>
      <x:c r="S330" s="4" t="str">
        <x:v>GitHub月榜24-26</x:v>
      </x:c>
      <x:c r="T330" s="4" t="n">
        <x:v>328</x:v>
      </x:c>
      <x:c r="U330" s="4" t="str">
        <x:v>https://github.com/omnivore-app/omnivore</x:v>
      </x:c>
      <x:c r="V330" s="4" t="str">
        <x:v>omnivore-app/omnivore</x:v>
      </x:c>
    </x:row>
    <x:row r="331" ht="44" customHeight="1">
      <x:c r="A331" s="4" t="n">
        <x:v>326</x:v>
      </x:c>
      <x:c r="B331" s="4" t="str">
        <x:v>open-mmlab/Amphion</x:v>
      </x:c>
      <x:c r="C331" s="4" t="n">
        <x:v>11</x:v>
      </x:c>
      <x:c r="D331" s="4" t="str">
        <x:v>AI模型与机器学习</x:v>
      </x:c>
      <x:c r="E331" s="4" t="str">
        <x:v>本地证据分类</x:v>
      </x:c>
      <x:c r="F331" s="4" t="n">
        <x:v>1</x:v>
      </x:c>
      <x:c r="G331" s="4" t="str">
        <x:v>软件项目</x:v>
      </x:c>
      <x:c r="H331" s="4" t="str">
        <x:v>模型/OCR/多模态</x:v>
      </x:c>
      <x:c r="I331" s="4" t="str">
        <x:v>当前页面未列入</x:v>
      </x:c>
      <x:c r="J331" s="4" t="str">
        <x:v>未记录</x:v>
      </x:c>
      <x:c r="K331" s="4" t="str">
        <x:v>未获取</x:v>
      </x:c>
      <x:c r="L331" s="4" t="str">
        <x:v>未记录</x:v>
      </x:c>
      <x:c r="M331" s="4" t="n">
        <x:v>0</x:v>
      </x:c>
      <x:c r="N331" s="4"/>
      <x:c r="O331" s="4"/>
      <x:c r="P331" s="9"/>
      <x:c r="Q331" s="4"/>
      <x:c r="R331" s="4" t="str">
        <x:v>项目名称/框架的明确功能定位；未逐一在线核验README</x:v>
      </x:c>
      <x:c r="S331" s="4" t="str">
        <x:v>GitHub月榜24-26</x:v>
      </x:c>
      <x:c r="T331" s="4" t="n">
        <x:v>329</x:v>
      </x:c>
      <x:c r="U331" s="4" t="str">
        <x:v>https://github.com/open-mmlab/Amphion</x:v>
      </x:c>
      <x:c r="V331" s="4" t="str">
        <x:v>open-mmlab/amphion</x:v>
      </x:c>
    </x:row>
    <x:row r="332" ht="44" customHeight="1">
      <x:c r="A332" s="4" t="n">
        <x:v>327</x:v>
      </x:c>
      <x:c r="B332" s="4" t="str">
        <x:v>openai/codex</x:v>
      </x:c>
      <x:c r="C332" s="4" t="n">
        <x:v>14</x:v>
      </x:c>
      <x:c r="D332" s="4" t="str">
        <x:v>软件构建、开发与测试</x:v>
      </x:c>
      <x:c r="E332" s="4" t="str">
        <x:v>元数据已核验</x:v>
      </x:c>
      <x:c r="F332" s="4" t="n">
        <x:v>1</x:v>
      </x:c>
      <x:c r="G332" s="4" t="str">
        <x:v>软件项目</x:v>
      </x:c>
      <x:c r="H332" s="4" t="str">
        <x:v>软件工程；编程Agent需额外挂13标签</x:v>
      </x:c>
      <x:c r="I332" s="4" t="str">
        <x:v>当前页面未列入</x:v>
      </x:c>
      <x:c r="J332" s="4" t="str">
        <x:v>未记录</x:v>
      </x:c>
      <x:c r="K332" s="4" t="str">
        <x:v>Rust</x:v>
      </x:c>
      <x:c r="L332" s="4" t="str">
        <x:v>未记录</x:v>
      </x:c>
      <x:c r="M332" s="4" t="n">
        <x:v>0</x:v>
      </x:c>
      <x:c r="N332" s="4"/>
      <x:c r="O332" s="4"/>
      <x:c r="P332" s="9"/>
      <x:c r="Q332" s="4"/>
      <x:c r="R332" s="4" t="str">
        <x:v>项目定位与GitHub描述人工对照</x:v>
      </x:c>
      <x:c r="S332" s="4" t="str">
        <x:v>GitHub月榜24-26</x:v>
      </x:c>
      <x:c r="T332" s="4" t="n">
        <x:v>330</x:v>
      </x:c>
      <x:c r="U332" s="4" t="str">
        <x:v>https://github.com/openai/codex</x:v>
      </x:c>
      <x:c r="V332" s="4" t="str">
        <x:v>openai/codex</x:v>
      </x:c>
    </x:row>
    <x:row r="333" ht="44" customHeight="1">
      <x:c r="A333" s="4" t="n">
        <x:v>328</x:v>
      </x:c>
      <x:c r="B333" s="4" t="str">
        <x:v>openai/skills</x:v>
      </x:c>
      <x:c r="C333" s="4"/>
      <x:c r="D333" s="4" t="str">
        <x:v>未归入15类</x:v>
      </x:c>
      <x:c r="E333" s="4" t="str">
        <x:v>范围排除</x:v>
      </x:c>
      <x:c r="F333" s="4" t="n">
        <x:v>0</x:v>
      </x:c>
      <x:c r="G333" s="4" t="str">
        <x:v>教程/资源/技能资产</x:v>
      </x:c>
      <x:c r="H333" s="4" t="str">
        <x:v>Agent资源（不等于运行时）</x:v>
      </x:c>
      <x:c r="I333" s="4" t="str">
        <x:v>当前页面未列入</x:v>
      </x:c>
      <x:c r="J333" s="4" t="str">
        <x:v>未记录</x:v>
      </x:c>
      <x:c r="K333" s="4" t="str">
        <x:v>未获取</x:v>
      </x:c>
      <x:c r="L333" s="4" t="str">
        <x:v>未记录</x:v>
      </x:c>
      <x:c r="M333" s="4" t="n">
        <x:v>0</x:v>
      </x:c>
      <x:c r="N333" s="4"/>
      <x:c r="O333" s="4"/>
      <x:c r="P333" s="9"/>
      <x:c r="Q333" s="4"/>
      <x:c r="R333" s="4" t="str">
        <x:v>按项目名称与已获取定位识别为知识、数据或技能资源；非独立软件能力证据</x:v>
      </x:c>
      <x:c r="S333" s="4" t="str">
        <x:v>GitHub月榜24-26</x:v>
      </x:c>
      <x:c r="T333" s="4" t="n">
        <x:v>331</x:v>
      </x:c>
      <x:c r="U333" s="4" t="str">
        <x:v>https://github.com/openai/skills</x:v>
      </x:c>
      <x:c r="V333" s="4" t="str">
        <x:v>openai/skills</x:v>
      </x:c>
    </x:row>
    <x:row r="334" ht="44" customHeight="1">
      <x:c r="A334" s="4" t="n">
        <x:v>329</x:v>
      </x:c>
      <x:c r="B334" s="4" t="str">
        <x:v>openai/whisper</x:v>
      </x:c>
      <x:c r="C334" s="4" t="n">
        <x:v>11</x:v>
      </x:c>
      <x:c r="D334" s="4" t="str">
        <x:v>AI模型与机器学习</x:v>
      </x:c>
      <x:c r="E334" s="4" t="str">
        <x:v>本地证据分类</x:v>
      </x:c>
      <x:c r="F334" s="4" t="n">
        <x:v>1</x:v>
      </x:c>
      <x:c r="G334" s="4" t="str">
        <x:v>软件项目</x:v>
      </x:c>
      <x:c r="H334" s="4" t="str">
        <x:v>AI模型/推理</x:v>
      </x:c>
      <x:c r="I334" s="4" t="str">
        <x:v>Agent 与 AI 应用</x:v>
      </x:c>
      <x:c r="J334" s="4" t="str">
        <x:v>Python</x:v>
      </x:c>
      <x:c r="K334" s="4" t="str">
        <x:v>未获取</x:v>
      </x:c>
      <x:c r="L334" s="4" t="str">
        <x:v>未记录</x:v>
      </x:c>
      <x:c r="M334" s="4" t="n">
        <x:v>7</x:v>
      </x:c>
      <x:c r="N334" s="4" t="n">
        <x:v>7</x:v>
      </x:c>
      <x:c r="O334" s="4" t="n">
        <x:v>6</x:v>
      </x:c>
      <x:c r="P334" s="9" t="n">
        <x:v>0.8571428571428571</x:v>
      </x:c>
      <x:c r="Q334" s="4"/>
      <x:c r="R334" s="4" t="str">
        <x:v>项目名称/框架的明确功能定位；未逐一在线核验README</x:v>
      </x:c>
      <x:c r="S334" s="4" t="str">
        <x:v>GitHub月榜24-26</x:v>
      </x:c>
      <x:c r="T334" s="4" t="n">
        <x:v>332</x:v>
      </x:c>
      <x:c r="U334" s="4" t="str">
        <x:v>https://github.com/openai/whisper</x:v>
      </x:c>
      <x:c r="V334" s="4" t="str">
        <x:v>openai/whisper</x:v>
      </x:c>
    </x:row>
    <x:row r="335" ht="44" customHeight="1">
      <x:c r="A335" s="4" t="n">
        <x:v>330</x:v>
      </x:c>
      <x:c r="B335" s="4" t="str">
        <x:v>opendatalab/MinerU</x:v>
      </x:c>
      <x:c r="C335" s="4" t="n">
        <x:v>10</x:v>
      </x:c>
      <x:c r="D335" s="4" t="str">
        <x:v>文档与办公数据处理</x:v>
      </x:c>
      <x:c r="E335" s="4" t="str">
        <x:v>本地证据分类</x:v>
      </x:c>
      <x:c r="F335" s="4" t="n">
        <x:v>1</x:v>
      </x:c>
      <x:c r="G335" s="4" t="str">
        <x:v>软件项目</x:v>
      </x:c>
      <x:c r="H335" s="4" t="str">
        <x:v>文档/知识内容</x:v>
      </x:c>
      <x:c r="I335" s="4" t="str">
        <x:v>办公文档与知识管理</x:v>
      </x:c>
      <x:c r="J335" s="4" t="str">
        <x:v>Python</x:v>
      </x:c>
      <x:c r="K335" s="4" t="str">
        <x:v>未获取</x:v>
      </x:c>
      <x:c r="L335" s="4" t="str">
        <x:v>未记录</x:v>
      </x:c>
      <x:c r="M335" s="4" t="n">
        <x:v>29</x:v>
      </x:c>
      <x:c r="N335" s="4" t="n">
        <x:v>29</x:v>
      </x:c>
      <x:c r="O335" s="4" t="n">
        <x:v>22</x:v>
      </x:c>
      <x:c r="P335" s="9" t="n">
        <x:v>0.7586206896551724</x:v>
      </x:c>
      <x:c r="Q335" s="4"/>
      <x:c r="R335" s="4" t="str">
        <x:v>项目名称/框架的明确功能定位；未逐一在线核验README</x:v>
      </x:c>
      <x:c r="S335" s="4" t="str">
        <x:v>GitHub月榜24-26</x:v>
      </x:c>
      <x:c r="T335" s="4" t="n">
        <x:v>333</x:v>
      </x:c>
      <x:c r="U335" s="4" t="str">
        <x:v>https://github.com/opendatalab/MinerU</x:v>
      </x:c>
      <x:c r="V335" s="4" t="str">
        <x:v>opendatalab/mineru</x:v>
      </x:c>
    </x:row>
    <x:row r="336" ht="44" customHeight="1">
      <x:c r="A336" s="4" t="n">
        <x:v>331</x:v>
      </x:c>
      <x:c r="B336" s="4" t="str">
        <x:v>opendataloader-project/opendataloader-pdf</x:v>
      </x:c>
      <x:c r="C336" s="4" t="n">
        <x:v>10</x:v>
      </x:c>
      <x:c r="D336" s="4" t="str">
        <x:v>文档与办公数据处理</x:v>
      </x:c>
      <x:c r="E336" s="4" t="str">
        <x:v>本地证据分类</x:v>
      </x:c>
      <x:c r="F336" s="4" t="n">
        <x:v>1</x:v>
      </x:c>
      <x:c r="G336" s="4" t="str">
        <x:v>软件项目</x:v>
      </x:c>
      <x:c r="H336" s="4" t="str">
        <x:v>文档/知识内容</x:v>
      </x:c>
      <x:c r="I336" s="4" t="str">
        <x:v>当前页面未列入</x:v>
      </x:c>
      <x:c r="J336" s="4" t="str">
        <x:v>未记录</x:v>
      </x:c>
      <x:c r="K336" s="4" t="str">
        <x:v>未获取</x:v>
      </x:c>
      <x:c r="L336" s="4" t="str">
        <x:v>未记录</x:v>
      </x:c>
      <x:c r="M336" s="4" t="n">
        <x:v>0</x:v>
      </x:c>
      <x:c r="N336" s="4"/>
      <x:c r="O336" s="4"/>
      <x:c r="P336" s="9"/>
      <x:c r="Q336" s="4"/>
      <x:c r="R336" s="4" t="str">
        <x:v>项目名称/框架的明确功能定位；未逐一在线核验README</x:v>
      </x:c>
      <x:c r="S336" s="4" t="str">
        <x:v>GitHub月榜24-26</x:v>
      </x:c>
      <x:c r="T336" s="4" t="n">
        <x:v>334</x:v>
      </x:c>
      <x:c r="U336" s="4" t="str">
        <x:v>https://github.com/opendataloader-project/opendataloader-pdf</x:v>
      </x:c>
      <x:c r="V336" s="4" t="str">
        <x:v>opendataloader-project/opendataloader-pdf</x:v>
      </x:c>
    </x:row>
    <x:row r="337" ht="44" customHeight="1">
      <x:c r="A337" s="4" t="n">
        <x:v>332</x:v>
      </x:c>
      <x:c r="B337" s="4" t="str">
        <x:v>outline/outline</x:v>
      </x:c>
      <x:c r="C337" s="4" t="n">
        <x:v>6</x:v>
      </x:c>
      <x:c r="D337" s="4" t="str">
        <x:v>后端服务与业务流程</x:v>
      </x:c>
      <x:c r="E337" s="4" t="str">
        <x:v>本地证据分类</x:v>
      </x:c>
      <x:c r="F337" s="4" t="n">
        <x:v>1</x:v>
      </x:c>
      <x:c r="G337" s="4" t="str">
        <x:v>软件项目</x:v>
      </x:c>
      <x:c r="H337" s="4" t="str">
        <x:v>业务应用/确定性工作流</x:v>
      </x:c>
      <x:c r="I337" s="4" t="str">
        <x:v>Web 与业务服务</x:v>
      </x:c>
      <x:c r="J337" s="4" t="str">
        <x:v>JavaScript/TypeScript</x:v>
      </x:c>
      <x:c r="K337" s="4" t="str">
        <x:v>未获取</x:v>
      </x:c>
      <x:c r="L337" s="4" t="str">
        <x:v>未记录</x:v>
      </x:c>
      <x:c r="M337" s="4" t="n">
        <x:v>209</x:v>
      </x:c>
      <x:c r="N337" s="4" t="n">
        <x:v>209</x:v>
      </x:c>
      <x:c r="O337" s="4" t="n">
        <x:v>180</x:v>
      </x:c>
      <x:c r="P337" s="9" t="n">
        <x:v>0.861244019138756</x:v>
      </x:c>
      <x:c r="Q337" s="4"/>
      <x:c r="R337" s="4" t="str">
        <x:v>项目名称/框架的明确功能定位；未逐一在线核验README</x:v>
      </x:c>
      <x:c r="S337" s="4" t="str">
        <x:v>GitHub月榜24-26</x:v>
      </x:c>
      <x:c r="T337" s="4" t="n">
        <x:v>335</x:v>
      </x:c>
      <x:c r="U337" s="4" t="str">
        <x:v>https://github.com/outline/outline</x:v>
      </x:c>
      <x:c r="V337" s="4" t="str">
        <x:v>outline/outline</x:v>
      </x:c>
    </x:row>
    <x:row r="338" ht="44" customHeight="1">
      <x:c r="A338" s="4" t="n">
        <x:v>333</x:v>
      </x:c>
      <x:c r="B338" s="4" t="str">
        <x:v>oven-sh/bun</x:v>
      </x:c>
      <x:c r="C338" s="4" t="n">
        <x:v>2</x:v>
      </x:c>
      <x:c r="D338" s="4" t="str">
        <x:v>系统资源与原生互操作</x:v>
      </x:c>
      <x:c r="E338" s="4" t="str">
        <x:v>元数据已核验</x:v>
      </x:c>
      <x:c r="F338" s="4" t="n">
        <x:v>1</x:v>
      </x:c>
      <x:c r="G338" s="4" t="str">
        <x:v>软件项目</x:v>
      </x:c>
      <x:c r="H338" s="4" t="str">
        <x:v>原生/系统接口</x:v>
      </x:c>
      <x:c r="I338" s="4" t="str">
        <x:v>Web 与业务服务</x:v>
      </x:c>
      <x:c r="J338" s="4" t="str">
        <x:v>JavaScript/TypeScript</x:v>
      </x:c>
      <x:c r="K338" s="4" t="str">
        <x:v>Rust</x:v>
      </x:c>
      <x:c r="L338" s="4" t="str">
        <x:v>未记录</x:v>
      </x:c>
      <x:c r="M338" s="4" t="n">
        <x:v>6</x:v>
      </x:c>
      <x:c r="N338" s="4" t="n">
        <x:v>6</x:v>
      </x:c>
      <x:c r="O338" s="4" t="n">
        <x:v>5</x:v>
      </x:c>
      <x:c r="P338" s="9" t="n">
        <x:v>0.8333333333333334</x:v>
      </x:c>
      <x:c r="Q338" s="4"/>
      <x:c r="R338" s="4" t="str">
        <x:v>项目定位与GitHub描述人工对照</x:v>
      </x:c>
      <x:c r="S338" s="4" t="str">
        <x:v>GitHub月榜24-26</x:v>
      </x:c>
      <x:c r="T338" s="4" t="n">
        <x:v>336</x:v>
      </x:c>
      <x:c r="U338" s="4" t="str">
        <x:v>https://github.com/oven-sh/bun</x:v>
      </x:c>
      <x:c r="V338" s="4" t="str">
        <x:v>oven-sh/bun</x:v>
      </x:c>
    </x:row>
    <x:row r="339" ht="44" customHeight="1">
      <x:c r="A339" s="4" t="n">
        <x:v>334</x:v>
      </x:c>
      <x:c r="B339" s="4" t="str">
        <x:v>p-e-w/heretic</x:v>
      </x:c>
      <x:c r="C339" s="4" t="n">
        <x:v>11</x:v>
      </x:c>
      <x:c r="D339" s="4" t="str">
        <x:v>AI模型与机器学习</x:v>
      </x:c>
      <x:c r="E339" s="4" t="str">
        <x:v>本地证据分类</x:v>
      </x:c>
      <x:c r="F339" s="4" t="n">
        <x:v>1</x:v>
      </x:c>
      <x:c r="G339" s="4" t="str">
        <x:v>软件项目</x:v>
      </x:c>
      <x:c r="H339" s="4" t="str">
        <x:v>AI模型/推理</x:v>
      </x:c>
      <x:c r="I339" s="4" t="str">
        <x:v>Agent 与 AI 应用</x:v>
      </x:c>
      <x:c r="J339" s="4" t="str">
        <x:v>Python</x:v>
      </x:c>
      <x:c r="K339" s="4" t="str">
        <x:v>未获取</x:v>
      </x:c>
      <x:c r="L339" s="4" t="str">
        <x:v>未记录</x:v>
      </x:c>
      <x:c r="M339" s="4" t="n">
        <x:v>20</x:v>
      </x:c>
      <x:c r="N339" s="4" t="n">
        <x:v>20</x:v>
      </x:c>
      <x:c r="O339" s="4" t="n">
        <x:v>13</x:v>
      </x:c>
      <x:c r="P339" s="9" t="n">
        <x:v>0.65</x:v>
      </x:c>
      <x:c r="Q339" s="4"/>
      <x:c r="R339" s="4" t="str">
        <x:v>项目名称/框架的明确功能定位；未逐一在线核验README</x:v>
      </x:c>
      <x:c r="S339" s="4" t="str">
        <x:v>GitHub月榜24-26</x:v>
      </x:c>
      <x:c r="T339" s="4" t="n">
        <x:v>337</x:v>
      </x:c>
      <x:c r="U339" s="4" t="str">
        <x:v>https://github.com/p-e-w/heretic</x:v>
      </x:c>
      <x:c r="V339" s="4" t="str">
        <x:v>p-e-w/heretic</x:v>
      </x:c>
    </x:row>
    <x:row r="340" ht="44" customHeight="1">
      <x:c r="A340" s="4" t="n">
        <x:v>335</x:v>
      </x:c>
      <x:c r="B340" s="4" t="str">
        <x:v>palmier-io/palmier-pro</x:v>
      </x:c>
      <x:c r="C340" s="4"/>
      <x:c r="D340" s="4" t="str">
        <x:v>未归入15类</x:v>
      </x:c>
      <x:c r="E340" s="4" t="str">
        <x:v>信息不足</x:v>
      </x:c>
      <x:c r="F340" s="4" t="n">
        <x:v>1</x:v>
      </x:c>
      <x:c r="G340" s="4" t="str">
        <x:v>待确认项目</x:v>
      </x:c>
      <x:c r="H340" s="4" t="str"/>
      <x:c r="I340" s="4" t="str">
        <x:v>当前页面未列入</x:v>
      </x:c>
      <x:c r="J340" s="4" t="str">
        <x:v>未记录</x:v>
      </x:c>
      <x:c r="K340" s="4" t="str">
        <x:v>未获取</x:v>
      </x:c>
      <x:c r="L340" s="4" t="str">
        <x:v>未记录</x:v>
      </x:c>
      <x:c r="M340" s="4" t="n">
        <x:v>0</x:v>
      </x:c>
      <x:c r="N340" s="4"/>
      <x:c r="O340" s="4"/>
      <x:c r="P340" s="9"/>
      <x:c r="Q340" s="4"/>
      <x:c r="R340" s="4" t="str">
        <x:v>缺少明确功能描述，不按依赖或语言强行归类</x:v>
      </x:c>
      <x:c r="S340" s="4" t="str">
        <x:v>GitHub月榜24-26</x:v>
      </x:c>
      <x:c r="T340" s="4" t="n">
        <x:v>338</x:v>
      </x:c>
      <x:c r="U340" s="4" t="str">
        <x:v>https://github.com/palmier-io/palmier-pro</x:v>
      </x:c>
      <x:c r="V340" s="4" t="str">
        <x:v>palmier-io/palmier-pro</x:v>
      </x:c>
    </x:row>
    <x:row r="341" ht="44" customHeight="1">
      <x:c r="A341" s="4" t="n">
        <x:v>336</x:v>
      </x:c>
      <x:c r="B341" s="4" t="str">
        <x:v>paperless-ngx/paperless-ngx</x:v>
      </x:c>
      <x:c r="C341" s="4" t="n">
        <x:v>10</x:v>
      </x:c>
      <x:c r="D341" s="4" t="str">
        <x:v>文档与办公数据处理</x:v>
      </x:c>
      <x:c r="E341" s="4" t="str">
        <x:v>本地证据分类</x:v>
      </x:c>
      <x:c r="F341" s="4" t="n">
        <x:v>1</x:v>
      </x:c>
      <x:c r="G341" s="4" t="str">
        <x:v>软件项目</x:v>
      </x:c>
      <x:c r="H341" s="4" t="str">
        <x:v>文档/知识内容</x:v>
      </x:c>
      <x:c r="I341" s="4" t="str">
        <x:v>办公文档与知识管理</x:v>
      </x:c>
      <x:c r="J341" s="4" t="str">
        <x:v>Python</x:v>
      </x:c>
      <x:c r="K341" s="4" t="str">
        <x:v>未获取</x:v>
      </x:c>
      <x:c r="L341" s="4" t="str">
        <x:v>未记录</x:v>
      </x:c>
      <x:c r="M341" s="4" t="n">
        <x:v>62</x:v>
      </x:c>
      <x:c r="N341" s="4" t="n">
        <x:v>62</x:v>
      </x:c>
      <x:c r="O341" s="4" t="n">
        <x:v>38</x:v>
      </x:c>
      <x:c r="P341" s="9" t="n">
        <x:v>0.6129032258064516</x:v>
      </x:c>
      <x:c r="Q341" s="4"/>
      <x:c r="R341" s="4" t="str">
        <x:v>项目名称/框架的明确功能定位；未逐一在线核验README</x:v>
      </x:c>
      <x:c r="S341" s="4" t="str">
        <x:v>GitHub月榜24-26</x:v>
      </x:c>
      <x:c r="T341" s="4" t="n">
        <x:v>339</x:v>
      </x:c>
      <x:c r="U341" s="4" t="str">
        <x:v>https://github.com/paperless-ngx/paperless-ngx</x:v>
      </x:c>
      <x:c r="V341" s="4" t="str">
        <x:v>paperless-ngx/paperless-ngx</x:v>
      </x:c>
    </x:row>
    <x:row r="342" ht="44" customHeight="1">
      <x:c r="A342" s="4" t="n">
        <x:v>337</x:v>
      </x:c>
      <x:c r="B342" s="4" t="str">
        <x:v>patchy631/ai-engineering-hub</x:v>
      </x:c>
      <x:c r="C342" s="4"/>
      <x:c r="D342" s="4" t="str">
        <x:v>未归入15类</x:v>
      </x:c>
      <x:c r="E342" s="4" t="str">
        <x:v>范围排除</x:v>
      </x:c>
      <x:c r="F342" s="4" t="n">
        <x:v>0</x:v>
      </x:c>
      <x:c r="G342" s="4" t="str">
        <x:v>教程/资源/技能资产</x:v>
      </x:c>
      <x:c r="H342" s="4" t="str">
        <x:v>知识/数据资产</x:v>
      </x:c>
      <x:c r="I342" s="4" t="str">
        <x:v>当前页面未列入</x:v>
      </x:c>
      <x:c r="J342" s="4" t="str">
        <x:v>未记录</x:v>
      </x:c>
      <x:c r="K342" s="4" t="str">
        <x:v>未获取</x:v>
      </x:c>
      <x:c r="L342" s="4" t="str">
        <x:v>未记录</x:v>
      </x:c>
      <x:c r="M342" s="4" t="n">
        <x:v>0</x:v>
      </x:c>
      <x:c r="N342" s="4"/>
      <x:c r="O342" s="4"/>
      <x:c r="P342" s="9"/>
      <x:c r="Q342" s="4"/>
      <x:c r="R342" s="4" t="str">
        <x:v>按项目名称与已获取定位识别为知识、数据或技能资源；非独立软件能力证据</x:v>
      </x:c>
      <x:c r="S342" s="4" t="str">
        <x:v>GitHub月榜24-26</x:v>
      </x:c>
      <x:c r="T342" s="4" t="n">
        <x:v>340</x:v>
      </x:c>
      <x:c r="U342" s="4" t="str">
        <x:v>https://github.com/patchy631/ai-engineering-hub</x:v>
      </x:c>
      <x:c r="V342" s="4" t="str">
        <x:v>patchy631/ai-engineering-hub</x:v>
      </x:c>
    </x:row>
    <x:row r="343" ht="44" customHeight="1">
      <x:c r="A343" s="4" t="n">
        <x:v>338</x:v>
      </x:c>
      <x:c r="B343" s="4" t="str">
        <x:v>pathwaycom/pathway</x:v>
      </x:c>
      <x:c r="C343" s="4" t="n">
        <x:v>8</x:v>
      </x:c>
      <x:c r="D343" s="4" t="str">
        <x:v>数据处理与科学计算</x:v>
      </x:c>
      <x:c r="E343" s="4" t="str">
        <x:v>本地证据分类</x:v>
      </x:c>
      <x:c r="F343" s="4" t="n">
        <x:v>1</x:v>
      </x:c>
      <x:c r="G343" s="4" t="str">
        <x:v>软件项目</x:v>
      </x:c>
      <x:c r="H343" s="4" t="str">
        <x:v>数据/行业分析</x:v>
      </x:c>
      <x:c r="I343" s="4" t="str">
        <x:v>云原生、运维与安全</x:v>
      </x:c>
      <x:c r="J343" s="4" t="str">
        <x:v>Python</x:v>
      </x:c>
      <x:c r="K343" s="4" t="str">
        <x:v>未获取</x:v>
      </x:c>
      <x:c r="L343" s="4" t="str">
        <x:v>未记录</x:v>
      </x:c>
      <x:c r="M343" s="4" t="n">
        <x:v>34</x:v>
      </x:c>
      <x:c r="N343" s="4" t="n">
        <x:v>34</x:v>
      </x:c>
      <x:c r="O343" s="4" t="n">
        <x:v>25</x:v>
      </x:c>
      <x:c r="P343" s="9" t="n">
        <x:v>0.7352941176470589</x:v>
      </x:c>
      <x:c r="Q343" s="4"/>
      <x:c r="R343" s="4" t="str">
        <x:v>项目名称/框架的明确功能定位；未逐一在线核验README</x:v>
      </x:c>
      <x:c r="S343" s="4" t="str">
        <x:v>GitHub月榜24-26</x:v>
      </x:c>
      <x:c r="T343" s="4" t="n">
        <x:v>341</x:v>
      </x:c>
      <x:c r="U343" s="4" t="str">
        <x:v>https://github.com/pathwaycom/pathway</x:v>
      </x:c>
      <x:c r="V343" s="4" t="str">
        <x:v>pathwaycom/pathway</x:v>
      </x:c>
    </x:row>
    <x:row r="344" ht="44" customHeight="1">
      <x:c r="A344" s="4" t="n">
        <x:v>339</x:v>
      </x:c>
      <x:c r="B344" s="4" t="str">
        <x:v>paul-gauthier/aider</x:v>
      </x:c>
      <x:c r="C344" s="4" t="n">
        <x:v>14</x:v>
      </x:c>
      <x:c r="D344" s="4" t="str">
        <x:v>软件构建、开发与测试</x:v>
      </x:c>
      <x:c r="E344" s="4" t="str">
        <x:v>本地证据分类</x:v>
      </x:c>
      <x:c r="F344" s="4" t="n">
        <x:v>1</x:v>
      </x:c>
      <x:c r="G344" s="4" t="str">
        <x:v>软件项目</x:v>
      </x:c>
      <x:c r="H344" s="4" t="str">
        <x:v>软件工程；编程Agent需额外挂13标签</x:v>
      </x:c>
      <x:c r="I344" s="4" t="str">
        <x:v>当前页面未列入</x:v>
      </x:c>
      <x:c r="J344" s="4" t="str">
        <x:v>未记录</x:v>
      </x:c>
      <x:c r="K344" s="4" t="str">
        <x:v>未获取</x:v>
      </x:c>
      <x:c r="L344" s="4" t="str">
        <x:v>未记录</x:v>
      </x:c>
      <x:c r="M344" s="4" t="n">
        <x:v>0</x:v>
      </x:c>
      <x:c r="N344" s="4"/>
      <x:c r="O344" s="4"/>
      <x:c r="P344" s="9"/>
      <x:c r="Q344" s="4"/>
      <x:c r="R344" s="4" t="str">
        <x:v>项目名称/框架的明确功能定位；未逐一在线核验README</x:v>
      </x:c>
      <x:c r="S344" s="4" t="str">
        <x:v>GitHub月榜24-26</x:v>
      </x:c>
      <x:c r="T344" s="4" t="n">
        <x:v>342</x:v>
      </x:c>
      <x:c r="U344" s="4" t="str">
        <x:v>https://github.com/paul-gauthier/aider</x:v>
      </x:c>
      <x:c r="V344" s="4" t="str">
        <x:v>paul-gauthier/aider</x:v>
      </x:c>
    </x:row>
    <x:row r="345" ht="44" customHeight="1">
      <x:c r="A345" s="4" t="n">
        <x:v>340</x:v>
      </x:c>
      <x:c r="B345" s="4" t="str">
        <x:v>payloadcms/payload</x:v>
      </x:c>
      <x:c r="C345" s="4" t="n">
        <x:v>6</x:v>
      </x:c>
      <x:c r="D345" s="4" t="str">
        <x:v>后端服务与业务流程</x:v>
      </x:c>
      <x:c r="E345" s="4" t="str">
        <x:v>元数据已核验</x:v>
      </x:c>
      <x:c r="F345" s="4" t="n">
        <x:v>1</x:v>
      </x:c>
      <x:c r="G345" s="4" t="str">
        <x:v>软件项目</x:v>
      </x:c>
      <x:c r="H345" s="4" t="str">
        <x:v>业务应用/确定性工作流</x:v>
      </x:c>
      <x:c r="I345" s="4" t="str">
        <x:v>Agent 与 AI 应用</x:v>
      </x:c>
      <x:c r="J345" s="4" t="str">
        <x:v>JavaScript/TypeScript</x:v>
      </x:c>
      <x:c r="K345" s="4" t="str">
        <x:v>TypeScript</x:v>
      </x:c>
      <x:c r="L345" s="4" t="str">
        <x:v>未记录</x:v>
      </x:c>
      <x:c r="M345" s="4" t="n">
        <x:v>43</x:v>
      </x:c>
      <x:c r="N345" s="4" t="n">
        <x:v>43</x:v>
      </x:c>
      <x:c r="O345" s="4" t="n">
        <x:v>25</x:v>
      </x:c>
      <x:c r="P345" s="9" t="n">
        <x:v>0.5813953488372093</x:v>
      </x:c>
      <x:c r="Q345" s="4"/>
      <x:c r="R345" s="4" t="str">
        <x:v>项目定位与GitHub描述人工对照</x:v>
      </x:c>
      <x:c r="S345" s="4" t="str">
        <x:v>GitHub月榜24-26</x:v>
      </x:c>
      <x:c r="T345" s="4" t="n">
        <x:v>343</x:v>
      </x:c>
      <x:c r="U345" s="4" t="str">
        <x:v>https://github.com/payloadcms/payload</x:v>
      </x:c>
      <x:c r="V345" s="4" t="str">
        <x:v>payloadcms/payload</x:v>
      </x:c>
    </x:row>
    <x:row r="346" ht="44" customHeight="1">
      <x:c r="A346" s="4" t="n">
        <x:v>341</x:v>
      </x:c>
      <x:c r="B346" s="4" t="str">
        <x:v>pbakaus/impeccable</x:v>
      </x:c>
      <x:c r="C346" s="4"/>
      <x:c r="D346" s="4" t="str">
        <x:v>未归入15类</x:v>
      </x:c>
      <x:c r="E346" s="4" t="str">
        <x:v>信息不足</x:v>
      </x:c>
      <x:c r="F346" s="4" t="n">
        <x:v>1</x:v>
      </x:c>
      <x:c r="G346" s="4" t="str">
        <x:v>待确认项目</x:v>
      </x:c>
      <x:c r="H346" s="4" t="str"/>
      <x:c r="I346" s="4" t="str">
        <x:v>Agent 与 AI 应用</x:v>
      </x:c>
      <x:c r="J346" s="4" t="str">
        <x:v>JavaScript/TypeScript</x:v>
      </x:c>
      <x:c r="K346" s="4" t="str">
        <x:v>未获取</x:v>
      </x:c>
      <x:c r="L346" s="4" t="str">
        <x:v>未记录</x:v>
      </x:c>
      <x:c r="M346" s="4" t="n">
        <x:v>10</x:v>
      </x:c>
      <x:c r="N346" s="4" t="n">
        <x:v>10</x:v>
      </x:c>
      <x:c r="O346" s="4" t="n">
        <x:v>8</x:v>
      </x:c>
      <x:c r="P346" s="9" t="n">
        <x:v>0.8</x:v>
      </x:c>
      <x:c r="Q346" s="4"/>
      <x:c r="R346" s="4" t="str">
        <x:v>缺少明确功能描述，不按依赖或语言强行归类</x:v>
      </x:c>
      <x:c r="S346" s="4" t="str">
        <x:v>GitHub月榜24-26</x:v>
      </x:c>
      <x:c r="T346" s="4" t="n">
        <x:v>344</x:v>
      </x:c>
      <x:c r="U346" s="4" t="str">
        <x:v>https://github.com/pbakaus/impeccable</x:v>
      </x:c>
      <x:c r="V346" s="4" t="str">
        <x:v>pbakaus/impeccable</x:v>
      </x:c>
    </x:row>
    <x:row r="347" ht="44" customHeight="1">
      <x:c r="A347" s="4" t="n">
        <x:v>342</x:v>
      </x:c>
      <x:c r="B347" s="4" t="str">
        <x:v>penpot/penpot</x:v>
      </x:c>
      <x:c r="C347" s="4" t="n">
        <x:v>9</x:v>
      </x:c>
      <x:c r="D347" s="4" t="str">
        <x:v>图形、多媒体与实时应用</x:v>
      </x:c>
      <x:c r="E347" s="4" t="str">
        <x:v>本地证据分类</x:v>
      </x:c>
      <x:c r="F347" s="4" t="n">
        <x:v>1</x:v>
      </x:c>
      <x:c r="G347" s="4" t="str">
        <x:v>软件项目</x:v>
      </x:c>
      <x:c r="H347" s="4" t="str">
        <x:v>媒体/图形</x:v>
      </x:c>
      <x:c r="I347" s="4" t="str">
        <x:v>行业与其他应用</x:v>
      </x:c>
      <x:c r="J347" s="4" t="str">
        <x:v>JavaScript/TypeScript</x:v>
      </x:c>
      <x:c r="K347" s="4" t="str">
        <x:v>未获取</x:v>
      </x:c>
      <x:c r="L347" s="4" t="str">
        <x:v>未记录</x:v>
      </x:c>
      <x:c r="M347" s="4" t="n">
        <x:v>3</x:v>
      </x:c>
      <x:c r="N347" s="4" t="n">
        <x:v>3</x:v>
      </x:c>
      <x:c r="O347" s="4" t="n">
        <x:v>1</x:v>
      </x:c>
      <x:c r="P347" s="9" t="n">
        <x:v>0.3333333333333333</x:v>
      </x:c>
      <x:c r="Q347" s="4"/>
      <x:c r="R347" s="4" t="str">
        <x:v>项目名称/框架的明确功能定位；未逐一在线核验README</x:v>
      </x:c>
      <x:c r="S347" s="4" t="str">
        <x:v>GitHub月榜24-26</x:v>
      </x:c>
      <x:c r="T347" s="4" t="n">
        <x:v>345</x:v>
      </x:c>
      <x:c r="U347" s="4" t="str">
        <x:v>https://github.com/penpot/penpot</x:v>
      </x:c>
      <x:c r="V347" s="4" t="str">
        <x:v>penpot/penpot</x:v>
      </x:c>
    </x:row>
    <x:row r="348" ht="44" customHeight="1">
      <x:c r="A348" s="4" t="n">
        <x:v>343</x:v>
      </x:c>
      <x:c r="B348" s="4" t="str">
        <x:v>pittcsc/Summer2023-Internships</x:v>
      </x:c>
      <x:c r="C348" s="4"/>
      <x:c r="D348" s="4" t="str">
        <x:v>未归入15类</x:v>
      </x:c>
      <x:c r="E348" s="4" t="str">
        <x:v>范围排除</x:v>
      </x:c>
      <x:c r="F348" s="4" t="n">
        <x:v>0</x:v>
      </x:c>
      <x:c r="G348" s="4" t="str">
        <x:v>教程/资源/技能资产</x:v>
      </x:c>
      <x:c r="H348" s="4" t="str">
        <x:v>知识/数据资产</x:v>
      </x:c>
      <x:c r="I348" s="4" t="str">
        <x:v>当前页面未列入</x:v>
      </x:c>
      <x:c r="J348" s="4" t="str">
        <x:v>未记录</x:v>
      </x:c>
      <x:c r="K348" s="4" t="str">
        <x:v>未获取</x:v>
      </x:c>
      <x:c r="L348" s="4" t="str">
        <x:v>未记录</x:v>
      </x:c>
      <x:c r="M348" s="4" t="n">
        <x:v>0</x:v>
      </x:c>
      <x:c r="N348" s="4"/>
      <x:c r="O348" s="4"/>
      <x:c r="P348" s="9"/>
      <x:c r="Q348" s="4"/>
      <x:c r="R348" s="4" t="str">
        <x:v>按项目名称与已获取定位识别为知识、数据或技能资源；非独立软件能力证据</x:v>
      </x:c>
      <x:c r="S348" s="4" t="str">
        <x:v>GitHub月榜24-26</x:v>
      </x:c>
      <x:c r="T348" s="4" t="n">
        <x:v>346</x:v>
      </x:c>
      <x:c r="U348" s="4" t="str">
        <x:v>https://github.com/pittcsc/Summer2023-Internships</x:v>
      </x:c>
      <x:c r="V348" s="4" t="str">
        <x:v>pittcsc/summer2023-internships</x:v>
      </x:c>
    </x:row>
    <x:row r="349" ht="44" customHeight="1">
      <x:c r="A349" s="4" t="n">
        <x:v>344</x:v>
      </x:c>
      <x:c r="B349" s="4" t="str">
        <x:v>plait-board/drawnix</x:v>
      </x:c>
      <x:c r="C349" s="4" t="n">
        <x:v>9</x:v>
      </x:c>
      <x:c r="D349" s="4" t="str">
        <x:v>图形、多媒体与实时应用</x:v>
      </x:c>
      <x:c r="E349" s="4" t="str">
        <x:v>本地证据分类</x:v>
      </x:c>
      <x:c r="F349" s="4" t="n">
        <x:v>1</x:v>
      </x:c>
      <x:c r="G349" s="4" t="str">
        <x:v>软件项目</x:v>
      </x:c>
      <x:c r="H349" s="4" t="str">
        <x:v>媒体/图形</x:v>
      </x:c>
      <x:c r="I349" s="4" t="str">
        <x:v>多媒体与图形</x:v>
      </x:c>
      <x:c r="J349" s="4" t="str">
        <x:v>JavaScript/TypeScript</x:v>
      </x:c>
      <x:c r="K349" s="4" t="str">
        <x:v>未获取</x:v>
      </x:c>
      <x:c r="L349" s="4" t="str">
        <x:v>未记录</x:v>
      </x:c>
      <x:c r="M349" s="4" t="n">
        <x:v>43</x:v>
      </x:c>
      <x:c r="N349" s="4" t="n">
        <x:v>43</x:v>
      </x:c>
      <x:c r="O349" s="4" t="n">
        <x:v>25</x:v>
      </x:c>
      <x:c r="P349" s="9" t="n">
        <x:v>0.5813953488372093</x:v>
      </x:c>
      <x:c r="Q349" s="4"/>
      <x:c r="R349" s="4" t="str">
        <x:v>项目名称/框架的明确功能定位；未逐一在线核验README</x:v>
      </x:c>
      <x:c r="S349" s="4" t="str">
        <x:v>GitHub月榜24-26</x:v>
      </x:c>
      <x:c r="T349" s="4" t="n">
        <x:v>347</x:v>
      </x:c>
      <x:c r="U349" s="4" t="str">
        <x:v>https://github.com/plait-board/drawnix</x:v>
      </x:c>
      <x:c r="V349" s="4" t="str">
        <x:v>plait-board/drawnix</x:v>
      </x:c>
    </x:row>
    <x:row r="350" ht="44" customHeight="1">
      <x:c r="A350" s="4" t="n">
        <x:v>345</x:v>
      </x:c>
      <x:c r="B350" s="4" t="str">
        <x:v>playcanvas/engine</x:v>
      </x:c>
      <x:c r="C350" s="4" t="n">
        <x:v>9</x:v>
      </x:c>
      <x:c r="D350" s="4" t="str">
        <x:v>图形、多媒体与实时应用</x:v>
      </x:c>
      <x:c r="E350" s="4" t="str">
        <x:v>本地证据分类</x:v>
      </x:c>
      <x:c r="F350" s="4" t="n">
        <x:v>1</x:v>
      </x:c>
      <x:c r="G350" s="4" t="str">
        <x:v>软件项目</x:v>
      </x:c>
      <x:c r="H350" s="4" t="str">
        <x:v>媒体/图形</x:v>
      </x:c>
      <x:c r="I350" s="4" t="str">
        <x:v>开发工具与工程效率</x:v>
      </x:c>
      <x:c r="J350" s="4" t="str">
        <x:v>JavaScript/TypeScript</x:v>
      </x:c>
      <x:c r="K350" s="4" t="str">
        <x:v>未获取</x:v>
      </x:c>
      <x:c r="L350" s="4" t="str">
        <x:v>未记录</x:v>
      </x:c>
      <x:c r="M350" s="4" t="n">
        <x:v>17</x:v>
      </x:c>
      <x:c r="N350" s="4" t="n">
        <x:v>17</x:v>
      </x:c>
      <x:c r="O350" s="4" t="n">
        <x:v>14</x:v>
      </x:c>
      <x:c r="P350" s="9" t="n">
        <x:v>0.8235294117647058</x:v>
      </x:c>
      <x:c r="Q350" s="4"/>
      <x:c r="R350" s="4" t="str">
        <x:v>项目名称/框架的明确功能定位；未逐一在线核验README</x:v>
      </x:c>
      <x:c r="S350" s="4" t="str">
        <x:v>GitHub月榜24-26</x:v>
      </x:c>
      <x:c r="T350" s="4" t="n">
        <x:v>348</x:v>
      </x:c>
      <x:c r="U350" s="4" t="str">
        <x:v>https://github.com/playcanvas/engine</x:v>
      </x:c>
      <x:c r="V350" s="4" t="str">
        <x:v>playcanvas/engine</x:v>
      </x:c>
    </x:row>
    <x:row r="351" ht="44" customHeight="1">
      <x:c r="A351" s="4" t="n">
        <x:v>346</x:v>
      </x:c>
      <x:c r="B351" s="4" t="str">
        <x:v>pocketbase/pocketbase</x:v>
      </x:c>
      <x:c r="C351" s="4" t="n">
        <x:v>6</x:v>
      </x:c>
      <x:c r="D351" s="4" t="str">
        <x:v>后端服务与业务流程</x:v>
      </x:c>
      <x:c r="E351" s="4" t="str">
        <x:v>元数据已核验</x:v>
      </x:c>
      <x:c r="F351" s="4" t="n">
        <x:v>1</x:v>
      </x:c>
      <x:c r="G351" s="4" t="str">
        <x:v>软件项目</x:v>
      </x:c>
      <x:c r="H351" s="4" t="str">
        <x:v>业务应用/确定性工作流</x:v>
      </x:c>
      <x:c r="I351" s="4" t="str">
        <x:v>多媒体与图形</x:v>
      </x:c>
      <x:c r="J351" s="4" t="str">
        <x:v>Go</x:v>
      </x:c>
      <x:c r="K351" s="4" t="str">
        <x:v>Go</x:v>
      </x:c>
      <x:c r="L351" s="4" t="str">
        <x:v>未记录</x:v>
      </x:c>
      <x:c r="M351" s="4" t="n">
        <x:v>41</x:v>
      </x:c>
      <x:c r="N351" s="4" t="n">
        <x:v>41</x:v>
      </x:c>
      <x:c r="O351" s="4" t="n">
        <x:v>0</x:v>
      </x:c>
      <x:c r="P351" s="9" t="n">
        <x:v>0</x:v>
      </x:c>
      <x:c r="Q351" s="4"/>
      <x:c r="R351" s="4" t="str">
        <x:v>项目定位与GitHub描述人工对照</x:v>
      </x:c>
      <x:c r="S351" s="4" t="str">
        <x:v>GitHub月榜24-26</x:v>
      </x:c>
      <x:c r="T351" s="4" t="n">
        <x:v>349</x:v>
      </x:c>
      <x:c r="U351" s="4" t="str">
        <x:v>https://github.com/pocketbase/pocketbase</x:v>
      </x:c>
      <x:c r="V351" s="4" t="str">
        <x:v>pocketbase/pocketbase</x:v>
      </x:c>
    </x:row>
    <x:row r="352" ht="44" customHeight="1">
      <x:c r="A352" s="4" t="n">
        <x:v>347</x:v>
      </x:c>
      <x:c r="B352" s="4" t="str">
        <x:v>practical-tutorials/project-based-learning</x:v>
      </x:c>
      <x:c r="C352" s="4"/>
      <x:c r="D352" s="4" t="str">
        <x:v>未归入15类</x:v>
      </x:c>
      <x:c r="E352" s="4" t="str">
        <x:v>范围排除</x:v>
      </x:c>
      <x:c r="F352" s="4" t="n">
        <x:v>0</x:v>
      </x:c>
      <x:c r="G352" s="4" t="str">
        <x:v>教程/资源/技能资产</x:v>
      </x:c>
      <x:c r="H352" s="4" t="str">
        <x:v>知识/数据资产</x:v>
      </x:c>
      <x:c r="I352" s="4" t="str">
        <x:v>当前页面未列入</x:v>
      </x:c>
      <x:c r="J352" s="4" t="str">
        <x:v>未记录</x:v>
      </x:c>
      <x:c r="K352" s="4" t="str">
        <x:v>Python</x:v>
      </x:c>
      <x:c r="L352" s="4" t="str">
        <x:v>未记录</x:v>
      </x:c>
      <x:c r="M352" s="4" t="n">
        <x:v>0</x:v>
      </x:c>
      <x:c r="N352" s="4"/>
      <x:c r="O352" s="4"/>
      <x:c r="P352" s="9"/>
      <x:c r="Q352" s="4"/>
      <x:c r="R352" s="4" t="str">
        <x:v>按项目名称与已获取定位识别为知识、数据或技能资源；非独立软件能力证据</x:v>
      </x:c>
      <x:c r="S352" s="4" t="str">
        <x:v>GitHub月榜24-26</x:v>
      </x:c>
      <x:c r="T352" s="4" t="n">
        <x:v>350</x:v>
      </x:c>
      <x:c r="U352" s="4" t="str">
        <x:v>https://github.com/practical-tutorials/project-based-learning</x:v>
      </x:c>
      <x:c r="V352" s="4" t="str">
        <x:v>practical-tutorials/project-based-learning</x:v>
      </x:c>
    </x:row>
    <x:row r="353" ht="44" customHeight="1">
      <x:c r="A353" s="4" t="n">
        <x:v>348</x:v>
      </x:c>
      <x:c r="B353" s="4" t="str">
        <x:v>public-apis/public-apis</x:v>
      </x:c>
      <x:c r="C353" s="4"/>
      <x:c r="D353" s="4" t="str">
        <x:v>未归入15类</x:v>
      </x:c>
      <x:c r="E353" s="4" t="str">
        <x:v>范围排除</x:v>
      </x:c>
      <x:c r="F353" s="4" t="n">
        <x:v>0</x:v>
      </x:c>
      <x:c r="G353" s="4" t="str">
        <x:v>教程/资源/技能资产</x:v>
      </x:c>
      <x:c r="H353" s="4" t="str">
        <x:v>知识/数据资产</x:v>
      </x:c>
      <x:c r="I353" s="4" t="str">
        <x:v>当前页面未列入</x:v>
      </x:c>
      <x:c r="J353" s="4" t="str">
        <x:v>未记录</x:v>
      </x:c>
      <x:c r="K353" s="4" t="str">
        <x:v>Python</x:v>
      </x:c>
      <x:c r="L353" s="4" t="str">
        <x:v>未记录</x:v>
      </x:c>
      <x:c r="M353" s="4" t="n">
        <x:v>0</x:v>
      </x:c>
      <x:c r="N353" s="4"/>
      <x:c r="O353" s="4"/>
      <x:c r="P353" s="9"/>
      <x:c r="Q353" s="4"/>
      <x:c r="R353" s="4" t="str">
        <x:v>按项目名称与已获取定位识别为知识、数据或技能资源；非独立软件能力证据</x:v>
      </x:c>
      <x:c r="S353" s="4" t="str">
        <x:v>GitHub月榜24-26</x:v>
      </x:c>
      <x:c r="T353" s="4" t="n">
        <x:v>351</x:v>
      </x:c>
      <x:c r="U353" s="4" t="str">
        <x:v>https://github.com/public-apis/public-apis</x:v>
      </x:c>
      <x:c r="V353" s="4" t="str">
        <x:v>public-apis/public-apis</x:v>
      </x:c>
    </x:row>
    <x:row r="354" ht="44" customHeight="1">
      <x:c r="A354" s="4" t="n">
        <x:v>349</x:v>
      </x:c>
      <x:c r="B354" s="4" t="str">
        <x:v>punkpeye/awesome-mcp-servers</x:v>
      </x:c>
      <x:c r="C354" s="4"/>
      <x:c r="D354" s="4" t="str">
        <x:v>未归入15类</x:v>
      </x:c>
      <x:c r="E354" s="4" t="str">
        <x:v>范围排除</x:v>
      </x:c>
      <x:c r="F354" s="4" t="n">
        <x:v>0</x:v>
      </x:c>
      <x:c r="G354" s="4" t="str">
        <x:v>教程/资源/技能资产</x:v>
      </x:c>
      <x:c r="H354" s="4" t="str">
        <x:v>知识/数据资产</x:v>
      </x:c>
      <x:c r="I354" s="4" t="str">
        <x:v>当前页面未列入</x:v>
      </x:c>
      <x:c r="J354" s="4" t="str">
        <x:v>未记录</x:v>
      </x:c>
      <x:c r="K354" s="4" t="str">
        <x:v>未获取</x:v>
      </x:c>
      <x:c r="L354" s="4" t="str">
        <x:v>未记录</x:v>
      </x:c>
      <x:c r="M354" s="4" t="n">
        <x:v>0</x:v>
      </x:c>
      <x:c r="N354" s="4"/>
      <x:c r="O354" s="4"/>
      <x:c r="P354" s="9"/>
      <x:c r="Q354" s="4"/>
      <x:c r="R354" s="4" t="str">
        <x:v>按项目名称与已获取定位识别为知识、数据或技能资源；非独立软件能力证据</x:v>
      </x:c>
      <x:c r="S354" s="4" t="str">
        <x:v>GitHub月榜24-26</x:v>
      </x:c>
      <x:c r="T354" s="4" t="n">
        <x:v>352</x:v>
      </x:c>
      <x:c r="U354" s="4" t="str">
        <x:v>https://github.com/punkpeye/awesome-mcp-servers</x:v>
      </x:c>
      <x:c r="V354" s="4" t="str">
        <x:v>punkpeye/awesome-mcp-servers</x:v>
      </x:c>
    </x:row>
    <x:row r="355" ht="44" customHeight="1">
      <x:c r="A355" s="4" t="n">
        <x:v>350</x:v>
      </x:c>
      <x:c r="B355" s="4" t="str">
        <x:v>refined-github/refined-github</x:v>
      </x:c>
      <x:c r="C355" s="4" t="n">
        <x:v>14</x:v>
      </x:c>
      <x:c r="D355" s="4" t="str">
        <x:v>软件构建、开发与测试</x:v>
      </x:c>
      <x:c r="E355" s="4" t="str">
        <x:v>本地证据分类</x:v>
      </x:c>
      <x:c r="F355" s="4" t="n">
        <x:v>1</x:v>
      </x:c>
      <x:c r="G355" s="4" t="str">
        <x:v>软件项目</x:v>
      </x:c>
      <x:c r="H355" s="4" t="str">
        <x:v>软件工程/开发工具</x:v>
      </x:c>
      <x:c r="I355" s="4" t="str">
        <x:v>Web 与业务服务</x:v>
      </x:c>
      <x:c r="J355" s="4" t="str">
        <x:v>JavaScript/TypeScript</x:v>
      </x:c>
      <x:c r="K355" s="4" t="str">
        <x:v>未获取</x:v>
      </x:c>
      <x:c r="L355" s="4" t="str">
        <x:v>未记录</x:v>
      </x:c>
      <x:c r="M355" s="4" t="n">
        <x:v>81</x:v>
      </x:c>
      <x:c r="N355" s="4" t="n">
        <x:v>81</x:v>
      </x:c>
      <x:c r="O355" s="4" t="n">
        <x:v>32</x:v>
      </x:c>
      <x:c r="P355" s="9" t="n">
        <x:v>0.3950617283950617</x:v>
      </x:c>
      <x:c r="Q355" s="4"/>
      <x:c r="R355" s="4" t="str">
        <x:v>项目名称/框架的明确功能定位；未逐一在线核验README</x:v>
      </x:c>
      <x:c r="S355" s="4" t="str">
        <x:v>GitHub月榜24-26</x:v>
      </x:c>
      <x:c r="T355" s="4" t="n">
        <x:v>353</x:v>
      </x:c>
      <x:c r="U355" s="4" t="str">
        <x:v>https://github.com/refined-github/refined-github</x:v>
      </x:c>
      <x:c r="V355" s="4" t="str">
        <x:v>refined-github/refined-github</x:v>
      </x:c>
    </x:row>
    <x:row r="356" ht="44" customHeight="1">
      <x:c r="A356" s="4" t="n">
        <x:v>351</x:v>
      </x:c>
      <x:c r="B356" s="4" t="str">
        <x:v>remotion-dev/remotion</x:v>
      </x:c>
      <x:c r="C356" s="4" t="n">
        <x:v>9</x:v>
      </x:c>
      <x:c r="D356" s="4" t="str">
        <x:v>图形、多媒体与实时应用</x:v>
      </x:c>
      <x:c r="E356" s="4" t="str">
        <x:v>本地证据分类</x:v>
      </x:c>
      <x:c r="F356" s="4" t="n">
        <x:v>1</x:v>
      </x:c>
      <x:c r="G356" s="4" t="str">
        <x:v>软件项目</x:v>
      </x:c>
      <x:c r="H356" s="4" t="str">
        <x:v>媒体/图形</x:v>
      </x:c>
      <x:c r="I356" s="4" t="str">
        <x:v>Web 与业务服务</x:v>
      </x:c>
      <x:c r="J356" s="4" t="str">
        <x:v>JavaScript/TypeScript</x:v>
      </x:c>
      <x:c r="K356" s="4" t="str">
        <x:v>未获取</x:v>
      </x:c>
      <x:c r="L356" s="4" t="str">
        <x:v>未记录</x:v>
      </x:c>
      <x:c r="M356" s="4" t="n">
        <x:v>4</x:v>
      </x:c>
      <x:c r="N356" s="4" t="n">
        <x:v>4</x:v>
      </x:c>
      <x:c r="O356" s="4" t="n">
        <x:v>2</x:v>
      </x:c>
      <x:c r="P356" s="9" t="n">
        <x:v>0.5</x:v>
      </x:c>
      <x:c r="Q356" s="4"/>
      <x:c r="R356" s="4" t="str">
        <x:v>项目名称/框架的明确功能定位；未逐一在线核验README</x:v>
      </x:c>
      <x:c r="S356" s="4" t="str">
        <x:v>GitHub月榜24-26</x:v>
      </x:c>
      <x:c r="T356" s="4" t="n">
        <x:v>354</x:v>
      </x:c>
      <x:c r="U356" s="4" t="str">
        <x:v>https://github.com/remotion-dev/remotion</x:v>
      </x:c>
      <x:c r="V356" s="4" t="str">
        <x:v>remotion-dev/remotion</x:v>
      </x:c>
    </x:row>
    <x:row r="357" ht="44" customHeight="1">
      <x:c r="A357" s="4" t="n">
        <x:v>352</x:v>
      </x:c>
      <x:c r="B357" s="4" t="str">
        <x:v>rendercv/rendercv</x:v>
      </x:c>
      <x:c r="C357" s="4" t="n">
        <x:v>10</x:v>
      </x:c>
      <x:c r="D357" s="4" t="str">
        <x:v>文档与办公数据处理</x:v>
      </x:c>
      <x:c r="E357" s="4" t="str">
        <x:v>本地证据分类</x:v>
      </x:c>
      <x:c r="F357" s="4" t="n">
        <x:v>1</x:v>
      </x:c>
      <x:c r="G357" s="4" t="str">
        <x:v>软件项目</x:v>
      </x:c>
      <x:c r="H357" s="4" t="str">
        <x:v>文档/知识内容</x:v>
      </x:c>
      <x:c r="I357" s="4" t="str">
        <x:v>办公文档与知识管理</x:v>
      </x:c>
      <x:c r="J357" s="4" t="str">
        <x:v>Python</x:v>
      </x:c>
      <x:c r="K357" s="4" t="str">
        <x:v>未获取</x:v>
      </x:c>
      <x:c r="L357" s="4" t="str">
        <x:v>未记录</x:v>
      </x:c>
      <x:c r="M357" s="4" t="n">
        <x:v>6</x:v>
      </x:c>
      <x:c r="N357" s="4" t="n">
        <x:v>6</x:v>
      </x:c>
      <x:c r="O357" s="4" t="n">
        <x:v>6</x:v>
      </x:c>
      <x:c r="P357" s="9" t="n">
        <x:v>1</x:v>
      </x:c>
      <x:c r="Q357" s="4"/>
      <x:c r="R357" s="4" t="str">
        <x:v>项目名称/框架的明确功能定位；未逐一在线核验README</x:v>
      </x:c>
      <x:c r="S357" s="4" t="str">
        <x:v>GitHub月榜24-26</x:v>
      </x:c>
      <x:c r="T357" s="4" t="n">
        <x:v>355</x:v>
      </x:c>
      <x:c r="U357" s="4" t="str">
        <x:v>https://github.com/rendercv/rendercv</x:v>
      </x:c>
      <x:c r="V357" s="4" t="str">
        <x:v>rendercv/rendercv</x:v>
      </x:c>
    </x:row>
    <x:row r="358" ht="44" customHeight="1">
      <x:c r="A358" s="4" t="n">
        <x:v>353</x:v>
      </x:c>
      <x:c r="B358" s="4" t="str">
        <x:v>resemble-ai/chatterbox</x:v>
      </x:c>
      <x:c r="C358" s="4" t="n">
        <x:v>11</x:v>
      </x:c>
      <x:c r="D358" s="4" t="str">
        <x:v>AI模型与机器学习</x:v>
      </x:c>
      <x:c r="E358" s="4" t="str">
        <x:v>本地证据分类</x:v>
      </x:c>
      <x:c r="F358" s="4" t="n">
        <x:v>1</x:v>
      </x:c>
      <x:c r="G358" s="4" t="str">
        <x:v>软件项目</x:v>
      </x:c>
      <x:c r="H358" s="4" t="str">
        <x:v>AI模型/推理</x:v>
      </x:c>
      <x:c r="I358" s="4" t="str">
        <x:v>Agent 与 AI 应用</x:v>
      </x:c>
      <x:c r="J358" s="4" t="str">
        <x:v>Python</x:v>
      </x:c>
      <x:c r="K358" s="4" t="str">
        <x:v>未获取</x:v>
      </x:c>
      <x:c r="L358" s="4" t="str">
        <x:v>未记录</x:v>
      </x:c>
      <x:c r="M358" s="4" t="n">
        <x:v>15</x:v>
      </x:c>
      <x:c r="N358" s="4" t="n">
        <x:v>15</x:v>
      </x:c>
      <x:c r="O358" s="4" t="n">
        <x:v>9</x:v>
      </x:c>
      <x:c r="P358" s="9" t="n">
        <x:v>0.6</x:v>
      </x:c>
      <x:c r="Q358" s="4"/>
      <x:c r="R358" s="4" t="str">
        <x:v>项目名称/框架的明确功能定位；未逐一在线核验README</x:v>
      </x:c>
      <x:c r="S358" s="4" t="str">
        <x:v>GitHub月榜24-26</x:v>
      </x:c>
      <x:c r="T358" s="4" t="n">
        <x:v>356</x:v>
      </x:c>
      <x:c r="U358" s="4" t="str">
        <x:v>https://github.com/resemble-ai/chatterbox</x:v>
      </x:c>
      <x:c r="V358" s="4" t="str">
        <x:v>resemble-ai/chatterbox</x:v>
      </x:c>
    </x:row>
    <x:row r="359" ht="44" customHeight="1">
      <x:c r="A359" s="4" t="n">
        <x:v>354</x:v>
      </x:c>
      <x:c r="B359" s="4" t="str">
        <x:v>rohitg00/agentmemory</x:v>
      </x:c>
      <x:c r="C359" s="4" t="n">
        <x:v>13</x:v>
      </x:c>
      <x:c r="D359" s="4" t="str">
        <x:v>Agent编排与工具执行</x:v>
      </x:c>
      <x:c r="E359" s="4" t="str">
        <x:v>本地证据分类</x:v>
      </x:c>
      <x:c r="F359" s="4" t="n">
        <x:v>1</x:v>
      </x:c>
      <x:c r="G359" s="4" t="str">
        <x:v>软件项目</x:v>
      </x:c>
      <x:c r="H359" s="4" t="str">
        <x:v>Agent/模型与工具</x:v>
      </x:c>
      <x:c r="I359" s="4" t="str">
        <x:v>Agent 与 AI 应用</x:v>
      </x:c>
      <x:c r="J359" s="4" t="str">
        <x:v>JavaScript/TypeScript</x:v>
      </x:c>
      <x:c r="K359" s="4" t="str">
        <x:v>未获取</x:v>
      </x:c>
      <x:c r="L359" s="4" t="str">
        <x:v>未记录</x:v>
      </x:c>
      <x:c r="M359" s="4" t="n">
        <x:v>7</x:v>
      </x:c>
      <x:c r="N359" s="4" t="n">
        <x:v>7</x:v>
      </x:c>
      <x:c r="O359" s="4" t="n">
        <x:v>4</x:v>
      </x:c>
      <x:c r="P359" s="9" t="n">
        <x:v>0.5714285714285714</x:v>
      </x:c>
      <x:c r="Q359" s="4"/>
      <x:c r="R359" s="4" t="str">
        <x:v>项目名称/框架的明确功能定位；未逐一在线核验README</x:v>
      </x:c>
      <x:c r="S359" s="4" t="str">
        <x:v>GitHub月榜24-26</x:v>
      </x:c>
      <x:c r="T359" s="4" t="n">
        <x:v>357</x:v>
      </x:c>
      <x:c r="U359" s="4" t="str">
        <x:v>https://github.com/rohitg00/agentmemory</x:v>
      </x:c>
      <x:c r="V359" s="4" t="str">
        <x:v>rohitg00/agentmemory</x:v>
      </x:c>
    </x:row>
    <x:row r="360" ht="44" customHeight="1">
      <x:c r="A360" s="4" t="n">
        <x:v>355</x:v>
      </x:c>
      <x:c r="B360" s="4" t="str">
        <x:v>rohitg00/ai-engineering-from-scratch</x:v>
      </x:c>
      <x:c r="C360" s="4"/>
      <x:c r="D360" s="4" t="str">
        <x:v>未归入15类</x:v>
      </x:c>
      <x:c r="E360" s="4" t="str">
        <x:v>范围排除</x:v>
      </x:c>
      <x:c r="F360" s="4" t="n">
        <x:v>0</x:v>
      </x:c>
      <x:c r="G360" s="4" t="str">
        <x:v>教程/资源/技能资产</x:v>
      </x:c>
      <x:c r="H360" s="4" t="str">
        <x:v>知识/数据资产</x:v>
      </x:c>
      <x:c r="I360" s="4" t="str">
        <x:v>Agent 与 AI 应用</x:v>
      </x:c>
      <x:c r="J360" s="4" t="str">
        <x:v>Python</x:v>
      </x:c>
      <x:c r="K360" s="4" t="str">
        <x:v>未获取</x:v>
      </x:c>
      <x:c r="L360" s="4" t="str">
        <x:v>未记录</x:v>
      </x:c>
      <x:c r="M360" s="4" t="n">
        <x:v>18</x:v>
      </x:c>
      <x:c r="N360" s="4" t="n">
        <x:v>18</x:v>
      </x:c>
      <x:c r="O360" s="4" t="n">
        <x:v>12</x:v>
      </x:c>
      <x:c r="P360" s="9" t="n">
        <x:v>0.6666666666666666</x:v>
      </x:c>
      <x:c r="Q360" s="4"/>
      <x:c r="R360" s="4" t="str">
        <x:v>按项目名称与已获取定位识别为知识、数据或技能资源；非独立软件能力证据</x:v>
      </x:c>
      <x:c r="S360" s="4" t="str">
        <x:v>GitHub月榜24-26</x:v>
      </x:c>
      <x:c r="T360" s="4" t="n">
        <x:v>358</x:v>
      </x:c>
      <x:c r="U360" s="4" t="str">
        <x:v>https://github.com/rohitg00/ai-engineering-from-scratch</x:v>
      </x:c>
      <x:c r="V360" s="4" t="str">
        <x:v>rohitg00/ai-engineering-from-scratch</x:v>
      </x:c>
    </x:row>
    <x:row r="361" ht="44" customHeight="1">
      <x:c r="A361" s="4" t="n">
        <x:v>356</x:v>
      </x:c>
      <x:c r="B361" s="4" t="str">
        <x:v>rothgar/awesome-tuis</x:v>
      </x:c>
      <x:c r="C361" s="4"/>
      <x:c r="D361" s="4" t="str">
        <x:v>未归入15类</x:v>
      </x:c>
      <x:c r="E361" s="4" t="str">
        <x:v>范围排除</x:v>
      </x:c>
      <x:c r="F361" s="4" t="n">
        <x:v>0</x:v>
      </x:c>
      <x:c r="G361" s="4" t="str">
        <x:v>教程/资源/技能资产</x:v>
      </x:c>
      <x:c r="H361" s="4" t="str">
        <x:v>知识/数据资产</x:v>
      </x:c>
      <x:c r="I361" s="4" t="str">
        <x:v>当前页面未列入</x:v>
      </x:c>
      <x:c r="J361" s="4" t="str">
        <x:v>未记录</x:v>
      </x:c>
      <x:c r="K361" s="4" t="str">
        <x:v>未获取</x:v>
      </x:c>
      <x:c r="L361" s="4" t="str">
        <x:v>未记录</x:v>
      </x:c>
      <x:c r="M361" s="4" t="n">
        <x:v>0</x:v>
      </x:c>
      <x:c r="N361" s="4"/>
      <x:c r="O361" s="4"/>
      <x:c r="P361" s="9"/>
      <x:c r="Q361" s="4"/>
      <x:c r="R361" s="4" t="str">
        <x:v>按项目名称与已获取定位识别为知识、数据或技能资源；非独立软件能力证据</x:v>
      </x:c>
      <x:c r="S361" s="4" t="str">
        <x:v>GitHub月榜24-26</x:v>
      </x:c>
      <x:c r="T361" s="4" t="n">
        <x:v>359</x:v>
      </x:c>
      <x:c r="U361" s="4" t="str">
        <x:v>https://github.com/rothgar/awesome-tuis</x:v>
      </x:c>
      <x:c r="V361" s="4" t="str">
        <x:v>rothgar/awesome-tuis</x:v>
      </x:c>
    </x:row>
    <x:row r="362" ht="44" customHeight="1">
      <x:c r="A362" s="4" t="n">
        <x:v>357</x:v>
      </x:c>
      <x:c r="B362" s="4" t="str">
        <x:v>rtk-ai/rtk</x:v>
      </x:c>
      <x:c r="C362" s="4" t="n">
        <x:v>14</x:v>
      </x:c>
      <x:c r="D362" s="4" t="str">
        <x:v>软件构建、开发与测试</x:v>
      </x:c>
      <x:c r="E362" s="4" t="str">
        <x:v>本地证据分类</x:v>
      </x:c>
      <x:c r="F362" s="4" t="n">
        <x:v>1</x:v>
      </x:c>
      <x:c r="G362" s="4" t="str">
        <x:v>软件项目</x:v>
      </x:c>
      <x:c r="H362" s="4" t="str">
        <x:v>软件工程；编程Agent需额外挂13标签</x:v>
      </x:c>
      <x:c r="I362" s="4" t="str">
        <x:v>Agent 与 AI 应用</x:v>
      </x:c>
      <x:c r="J362" s="4" t="str">
        <x:v>Rust</x:v>
      </x:c>
      <x:c r="K362" s="4" t="str">
        <x:v>未获取</x:v>
      </x:c>
      <x:c r="L362" s="4" t="str">
        <x:v>未记录</x:v>
      </x:c>
      <x:c r="M362" s="4" t="n">
        <x:v>23</x:v>
      </x:c>
      <x:c r="N362" s="4" t="n">
        <x:v>23</x:v>
      </x:c>
      <x:c r="O362" s="4" t="n">
        <x:v>3</x:v>
      </x:c>
      <x:c r="P362" s="9" t="n">
        <x:v>0.13043478260869565</x:v>
      </x:c>
      <x:c r="Q362" s="4"/>
      <x:c r="R362" s="4" t="str">
        <x:v>项目名称/框架的明确功能定位；未逐一在线核验README</x:v>
      </x:c>
      <x:c r="S362" s="4" t="str">
        <x:v>GitHub月榜24-26</x:v>
      </x:c>
      <x:c r="T362" s="4" t="n">
        <x:v>360</x:v>
      </x:c>
      <x:c r="U362" s="4" t="str">
        <x:v>https://github.com/rtk-ai/rtk</x:v>
      </x:c>
      <x:c r="V362" s="4" t="str">
        <x:v>rtk-ai/rtk</x:v>
      </x:c>
    </x:row>
    <x:row r="363" ht="44" customHeight="1">
      <x:c r="A363" s="4" t="n">
        <x:v>358</x:v>
      </x:c>
      <x:c r="B363" s="4" t="str">
        <x:v>ruanyf/weekly</x:v>
      </x:c>
      <x:c r="C363" s="4"/>
      <x:c r="D363" s="4" t="str">
        <x:v>未归入15类</x:v>
      </x:c>
      <x:c r="E363" s="4" t="str">
        <x:v>范围排除</x:v>
      </x:c>
      <x:c r="F363" s="4" t="n">
        <x:v>0</x:v>
      </x:c>
      <x:c r="G363" s="4" t="str">
        <x:v>教程/资源/技能资产</x:v>
      </x:c>
      <x:c r="H363" s="4" t="str">
        <x:v>知识/数据资产</x:v>
      </x:c>
      <x:c r="I363" s="4" t="str">
        <x:v>当前页面未列入</x:v>
      </x:c>
      <x:c r="J363" s="4" t="str">
        <x:v>未记录</x:v>
      </x:c>
      <x:c r="K363" s="4" t="str">
        <x:v>未获取</x:v>
      </x:c>
      <x:c r="L363" s="4" t="str">
        <x:v>未记录</x:v>
      </x:c>
      <x:c r="M363" s="4" t="n">
        <x:v>0</x:v>
      </x:c>
      <x:c r="N363" s="4"/>
      <x:c r="O363" s="4"/>
      <x:c r="P363" s="9"/>
      <x:c r="Q363" s="4"/>
      <x:c r="R363" s="4" t="str">
        <x:v>按项目名称与已获取定位识别为知识、数据或技能资源；非独立软件能力证据</x:v>
      </x:c>
      <x:c r="S363" s="4" t="str">
        <x:v>GitHub月榜24-26</x:v>
      </x:c>
      <x:c r="T363" s="4" t="n">
        <x:v>361</x:v>
      </x:c>
      <x:c r="U363" s="4" t="str">
        <x:v>https://github.com/ruanyf/weekly</x:v>
      </x:c>
      <x:c r="V363" s="4" t="str">
        <x:v>ruanyf/weekly</x:v>
      </x:c>
    </x:row>
    <x:row r="364" ht="44" customHeight="1">
      <x:c r="A364" s="4" t="n">
        <x:v>359</x:v>
      </x:c>
      <x:c r="B364" s="4" t="str">
        <x:v>rustfs/rustfs</x:v>
      </x:c>
      <x:c r="C364" s="4" t="n">
        <x:v>5</x:v>
      </x:c>
      <x:c r="D364" s="4" t="str">
        <x:v>数据库、存储与检索</x:v>
      </x:c>
      <x:c r="E364" s="4" t="str">
        <x:v>本地证据分类</x:v>
      </x:c>
      <x:c r="F364" s="4" t="n">
        <x:v>1</x:v>
      </x:c>
      <x:c r="G364" s="4" t="str">
        <x:v>软件项目</x:v>
      </x:c>
      <x:c r="H364" s="4" t="str">
        <x:v>数据服务</x:v>
      </x:c>
      <x:c r="I364" s="4" t="str">
        <x:v>当前页面未列入</x:v>
      </x:c>
      <x:c r="J364" s="4" t="str">
        <x:v>未记录</x:v>
      </x:c>
      <x:c r="K364" s="4" t="str">
        <x:v>未获取</x:v>
      </x:c>
      <x:c r="L364" s="4" t="str">
        <x:v>未记录</x:v>
      </x:c>
      <x:c r="M364" s="4" t="n">
        <x:v>0</x:v>
      </x:c>
      <x:c r="N364" s="4"/>
      <x:c r="O364" s="4"/>
      <x:c r="P364" s="9"/>
      <x:c r="Q364" s="4"/>
      <x:c r="R364" s="4" t="str">
        <x:v>项目名称/框架的明确功能定位；未逐一在线核验README</x:v>
      </x:c>
      <x:c r="S364" s="4" t="str">
        <x:v>GitHub月榜24-26</x:v>
      </x:c>
      <x:c r="T364" s="4" t="n">
        <x:v>362</x:v>
      </x:c>
      <x:c r="U364" s="4" t="str">
        <x:v>https://github.com/rustfs/rustfs</x:v>
      </x:c>
      <x:c r="V364" s="4" t="str">
        <x:v>rustfs/rustfs</x:v>
      </x:c>
    </x:row>
    <x:row r="365" ht="44" customHeight="1">
      <x:c r="A365" s="4" t="n">
        <x:v>360</x:v>
      </x:c>
      <x:c r="B365" s="4" t="str">
        <x:v>ruvnet/RuView</x:v>
      </x:c>
      <x:c r="C365" s="4" t="n">
        <x:v>11</x:v>
      </x:c>
      <x:c r="D365" s="4" t="str">
        <x:v>AI模型与机器学习</x:v>
      </x:c>
      <x:c r="E365" s="4" t="str">
        <x:v>元数据已核验</x:v>
      </x:c>
      <x:c r="F365" s="4" t="n">
        <x:v>1</x:v>
      </x:c>
      <x:c r="G365" s="4" t="str">
        <x:v>软件项目</x:v>
      </x:c>
      <x:c r="H365" s="4" t="str">
        <x:v>AI模型/推理</x:v>
      </x:c>
      <x:c r="I365" s="4" t="str">
        <x:v>数据分析与科学计算</x:v>
      </x:c>
      <x:c r="J365" s="4" t="str">
        <x:v>Python</x:v>
      </x:c>
      <x:c r="K365" s="4" t="str">
        <x:v>Rust</x:v>
      </x:c>
      <x:c r="L365" s="4" t="str">
        <x:v>未记录</x:v>
      </x:c>
      <x:c r="M365" s="4" t="n">
        <x:v>40</x:v>
      </x:c>
      <x:c r="N365" s="4" t="n">
        <x:v>40</x:v>
      </x:c>
      <x:c r="O365" s="4" t="n">
        <x:v>34</x:v>
      </x:c>
      <x:c r="P365" s="9" t="n">
        <x:v>0.85</x:v>
      </x:c>
      <x:c r="Q365" s="4"/>
      <x:c r="R365" s="4" t="str">
        <x:v>项目定位与GitHub描述人工对照</x:v>
      </x:c>
      <x:c r="S365" s="4" t="str">
        <x:v>GitHub月榜24-26</x:v>
      </x:c>
      <x:c r="T365" s="4" t="n">
        <x:v>363</x:v>
      </x:c>
      <x:c r="U365" s="4" t="str">
        <x:v>https://github.com/ruvnet/RuView</x:v>
      </x:c>
      <x:c r="V365" s="4" t="str">
        <x:v>ruvnet/ruview</x:v>
      </x:c>
    </x:row>
    <x:row r="366" ht="44" customHeight="1">
      <x:c r="A366" s="4" t="n">
        <x:v>361</x:v>
      </x:c>
      <x:c r="B366" s="4" t="str">
        <x:v>ruvnet/claude-flow</x:v>
      </x:c>
      <x:c r="C366" s="4" t="n">
        <x:v>13</x:v>
      </x:c>
      <x:c r="D366" s="4" t="str">
        <x:v>Agent编排与工具执行</x:v>
      </x:c>
      <x:c r="E366" s="4" t="str">
        <x:v>本地证据分类</x:v>
      </x:c>
      <x:c r="F366" s="4" t="n">
        <x:v>1</x:v>
      </x:c>
      <x:c r="G366" s="4" t="str">
        <x:v>软件项目</x:v>
      </x:c>
      <x:c r="H366" s="4" t="str">
        <x:v>Agent/模型与工具</x:v>
      </x:c>
      <x:c r="I366" s="4" t="str">
        <x:v>Agent 与 AI 应用</x:v>
      </x:c>
      <x:c r="J366" s="4" t="str">
        <x:v>JavaScript/TypeScript</x:v>
      </x:c>
      <x:c r="K366" s="4" t="str">
        <x:v>未获取</x:v>
      </x:c>
      <x:c r="L366" s="4" t="str">
        <x:v>未记录</x:v>
      </x:c>
      <x:c r="M366" s="4" t="n">
        <x:v>27</x:v>
      </x:c>
      <x:c r="N366" s="4" t="n">
        <x:v>27</x:v>
      </x:c>
      <x:c r="O366" s="4" t="n">
        <x:v>19</x:v>
      </x:c>
      <x:c r="P366" s="9" t="n">
        <x:v>0.7037037037037037</x:v>
      </x:c>
      <x:c r="Q366" s="4"/>
      <x:c r="R366" s="4" t="str">
        <x:v>项目名称/框架的明确功能定位；未逐一在线核验README</x:v>
      </x:c>
      <x:c r="S366" s="4" t="str">
        <x:v>GitHub月榜24-26</x:v>
      </x:c>
      <x:c r="T366" s="4" t="n">
        <x:v>364</x:v>
      </x:c>
      <x:c r="U366" s="4" t="str">
        <x:v>https://github.com/ruvnet/claude-flow</x:v>
      </x:c>
      <x:c r="V366" s="4" t="str">
        <x:v>ruvnet/claude-flow</x:v>
      </x:c>
    </x:row>
    <x:row r="367" ht="44" customHeight="1">
      <x:c r="A367" s="4" t="n">
        <x:v>362</x:v>
      </x:c>
      <x:c r="B367" s="4" t="str">
        <x:v>ruvnet/wifi-densepose</x:v>
      </x:c>
      <x:c r="C367" s="4" t="n">
        <x:v>11</x:v>
      </x:c>
      <x:c r="D367" s="4" t="str">
        <x:v>AI模型与机器学习</x:v>
      </x:c>
      <x:c r="E367" s="4" t="str">
        <x:v>本地证据分类</x:v>
      </x:c>
      <x:c r="F367" s="4" t="n">
        <x:v>1</x:v>
      </x:c>
      <x:c r="G367" s="4" t="str">
        <x:v>软件项目</x:v>
      </x:c>
      <x:c r="H367" s="4" t="str">
        <x:v>AI模型/推理</x:v>
      </x:c>
      <x:c r="I367" s="4" t="str">
        <x:v>数据分析与科学计算</x:v>
      </x:c>
      <x:c r="J367" s="4" t="str">
        <x:v>Python</x:v>
      </x:c>
      <x:c r="K367" s="4" t="str">
        <x:v>未获取</x:v>
      </x:c>
      <x:c r="L367" s="4" t="str">
        <x:v>未记录</x:v>
      </x:c>
      <x:c r="M367" s="4" t="n">
        <x:v>40</x:v>
      </x:c>
      <x:c r="N367" s="4" t="n">
        <x:v>40</x:v>
      </x:c>
      <x:c r="O367" s="4" t="n">
        <x:v>34</x:v>
      </x:c>
      <x:c r="P367" s="9" t="n">
        <x:v>0.85</x:v>
      </x:c>
      <x:c r="Q367" s="4"/>
      <x:c r="R367" s="4" t="str">
        <x:v>项目名称/框架的明确功能定位；未逐一在线核验README</x:v>
      </x:c>
      <x:c r="S367" s="4" t="str">
        <x:v>GitHub月榜24-26</x:v>
      </x:c>
      <x:c r="T367" s="4" t="n">
        <x:v>365</x:v>
      </x:c>
      <x:c r="U367" s="4" t="str">
        <x:v>https://github.com/ruvnet/wifi-densepose</x:v>
      </x:c>
      <x:c r="V367" s="4" t="str">
        <x:v>ruvnet/wifi-densepose</x:v>
      </x:c>
    </x:row>
    <x:row r="368" ht="44" customHeight="1">
      <x:c r="A368" s="4" t="n">
        <x:v>363</x:v>
      </x:c>
      <x:c r="B368" s="4" t="str">
        <x:v>safishamsi/graphify</x:v>
      </x:c>
      <x:c r="C368" s="4" t="n">
        <x:v>14</x:v>
      </x:c>
      <x:c r="D368" s="4" t="str">
        <x:v>软件构建、开发与测试</x:v>
      </x:c>
      <x:c r="E368" s="4" t="str">
        <x:v>本地证据分类</x:v>
      </x:c>
      <x:c r="F368" s="4" t="n">
        <x:v>1</x:v>
      </x:c>
      <x:c r="G368" s="4" t="str">
        <x:v>软件项目</x:v>
      </x:c>
      <x:c r="H368" s="4" t="str">
        <x:v>软件工程；编程Agent需额外挂13标签</x:v>
      </x:c>
      <x:c r="I368" s="4" t="str">
        <x:v>当前页面未列入</x:v>
      </x:c>
      <x:c r="J368" s="4" t="str">
        <x:v>未记录</x:v>
      </x:c>
      <x:c r="K368" s="4" t="str">
        <x:v>未获取</x:v>
      </x:c>
      <x:c r="L368" s="4" t="str">
        <x:v>未记录</x:v>
      </x:c>
      <x:c r="M368" s="4" t="n">
        <x:v>0</x:v>
      </x:c>
      <x:c r="N368" s="4"/>
      <x:c r="O368" s="4"/>
      <x:c r="P368" s="9"/>
      <x:c r="Q368" s="4"/>
      <x:c r="R368" s="4" t="str">
        <x:v>项目名称/框架的明确功能定位；未逐一在线核验README</x:v>
      </x:c>
      <x:c r="S368" s="4" t="str">
        <x:v>GitHub月榜24-26</x:v>
      </x:c>
      <x:c r="T368" s="4" t="n">
        <x:v>366</x:v>
      </x:c>
      <x:c r="U368" s="4" t="str">
        <x:v>https://github.com/safishamsi/graphify</x:v>
      </x:c>
      <x:c r="V368" s="4" t="str">
        <x:v>safishamsi/graphify</x:v>
      </x:c>
    </x:row>
    <x:row r="369" ht="44" customHeight="1">
      <x:c r="A369" s="4" t="n">
        <x:v>364</x:v>
      </x:c>
      <x:c r="B369" s="4" t="str">
        <x:v>sansan0/TrendRadar</x:v>
      </x:c>
      <x:c r="C369" s="4" t="n">
        <x:v>8</x:v>
      </x:c>
      <x:c r="D369" s="4" t="str">
        <x:v>数据处理与科学计算</x:v>
      </x:c>
      <x:c r="E369" s="4" t="str">
        <x:v>本地证据分类</x:v>
      </x:c>
      <x:c r="F369" s="4" t="n">
        <x:v>1</x:v>
      </x:c>
      <x:c r="G369" s="4" t="str">
        <x:v>软件项目</x:v>
      </x:c>
      <x:c r="H369" s="4" t="str">
        <x:v>数据分析/信息聚合</x:v>
      </x:c>
      <x:c r="I369" s="4" t="str">
        <x:v>Web 与业务服务</x:v>
      </x:c>
      <x:c r="J369" s="4" t="str">
        <x:v>Python</x:v>
      </x:c>
      <x:c r="K369" s="4" t="str">
        <x:v>未获取</x:v>
      </x:c>
      <x:c r="L369" s="4" t="str">
        <x:v>未记录</x:v>
      </x:c>
      <x:c r="M369" s="4" t="n">
        <x:v>10</x:v>
      </x:c>
      <x:c r="N369" s="4" t="n">
        <x:v>10</x:v>
      </x:c>
      <x:c r="O369" s="4" t="n">
        <x:v>9</x:v>
      </x:c>
      <x:c r="P369" s="9" t="n">
        <x:v>0.9</x:v>
      </x:c>
      <x:c r="Q369" s="4"/>
      <x:c r="R369" s="4" t="str">
        <x:v>项目名称/框架的明确功能定位；未逐一在线核验README</x:v>
      </x:c>
      <x:c r="S369" s="4" t="str">
        <x:v>GitHub月榜24-26</x:v>
      </x:c>
      <x:c r="T369" s="4" t="n">
        <x:v>367</x:v>
      </x:c>
      <x:c r="U369" s="4" t="str">
        <x:v>https://github.com/sansan0/TrendRadar</x:v>
      </x:c>
      <x:c r="V369" s="4" t="str">
        <x:v>sansan0/trendradar</x:v>
      </x:c>
    </x:row>
    <x:row r="370" ht="44" customHeight="1">
      <x:c r="A370" s="4" t="n">
        <x:v>365</x:v>
      </x:c>
      <x:c r="B370" s="4" t="str">
        <x:v>seleniumbase/SeleniumBase</x:v>
      </x:c>
      <x:c r="C370" s="4" t="n">
        <x:v>14</x:v>
      </x:c>
      <x:c r="D370" s="4" t="str">
        <x:v>软件构建、开发与测试</x:v>
      </x:c>
      <x:c r="E370" s="4" t="str">
        <x:v>本地证据分类</x:v>
      </x:c>
      <x:c r="F370" s="4" t="n">
        <x:v>1</x:v>
      </x:c>
      <x:c r="G370" s="4" t="str">
        <x:v>软件项目</x:v>
      </x:c>
      <x:c r="H370" s="4" t="str">
        <x:v>软件工程；编程Agent需额外挂13标签</x:v>
      </x:c>
      <x:c r="I370" s="4" t="str">
        <x:v>当前页面未列入</x:v>
      </x:c>
      <x:c r="J370" s="4" t="str">
        <x:v>未记录</x:v>
      </x:c>
      <x:c r="K370" s="4" t="str">
        <x:v>未获取</x:v>
      </x:c>
      <x:c r="L370" s="4" t="str">
        <x:v>未记录</x:v>
      </x:c>
      <x:c r="M370" s="4" t="n">
        <x:v>0</x:v>
      </x:c>
      <x:c r="N370" s="4"/>
      <x:c r="O370" s="4"/>
      <x:c r="P370" s="9"/>
      <x:c r="Q370" s="4"/>
      <x:c r="R370" s="4" t="str">
        <x:v>项目名称/框架的明确功能定位；未逐一在线核验README</x:v>
      </x:c>
      <x:c r="S370" s="4" t="str">
        <x:v>GitHub月榜24-26</x:v>
      </x:c>
      <x:c r="T370" s="4" t="n">
        <x:v>368</x:v>
      </x:c>
      <x:c r="U370" s="4" t="str">
        <x:v>https://github.com/seleniumbase/SeleniumBase</x:v>
      </x:c>
      <x:c r="V370" s="4" t="str">
        <x:v>seleniumbase/seleniumbase</x:v>
      </x:c>
    </x:row>
    <x:row r="371" ht="44" customHeight="1">
      <x:c r="A371" s="4" t="n">
        <x:v>366</x:v>
      </x:c>
      <x:c r="B371" s="4" t="str">
        <x:v>semantica-agi/semantica</x:v>
      </x:c>
      <x:c r="C371" s="4" t="n">
        <x:v>13</x:v>
      </x:c>
      <x:c r="D371" s="4" t="str">
        <x:v>Agent编排与工具执行</x:v>
      </x:c>
      <x:c r="E371" s="4" t="str">
        <x:v>本地证据分类</x:v>
      </x:c>
      <x:c r="F371" s="4" t="n">
        <x:v>1</x:v>
      </x:c>
      <x:c r="G371" s="4" t="str">
        <x:v>软件项目</x:v>
      </x:c>
      <x:c r="H371" s="4" t="str">
        <x:v>Agent/模型与工具</x:v>
      </x:c>
      <x:c r="I371" s="4" t="str">
        <x:v>数据分析与科学计算</x:v>
      </x:c>
      <x:c r="J371" s="4" t="str">
        <x:v>Python</x:v>
      </x:c>
      <x:c r="K371" s="4" t="str">
        <x:v>未获取</x:v>
      </x:c>
      <x:c r="L371" s="4" t="str">
        <x:v>未记录</x:v>
      </x:c>
      <x:c r="M371" s="4" t="n">
        <x:v>22</x:v>
      </x:c>
      <x:c r="N371" s="4" t="n">
        <x:v>22</x:v>
      </x:c>
      <x:c r="O371" s="4" t="n">
        <x:v>20</x:v>
      </x:c>
      <x:c r="P371" s="9" t="n">
        <x:v>0.9090909090909091</x:v>
      </x:c>
      <x:c r="Q371" s="4"/>
      <x:c r="R371" s="4" t="str">
        <x:v>项目名称/框架的明确功能定位；未逐一在线核验README</x:v>
      </x:c>
      <x:c r="S371" s="4" t="str">
        <x:v>GitHub月榜24-26</x:v>
      </x:c>
      <x:c r="T371" s="4" t="n">
        <x:v>369</x:v>
      </x:c>
      <x:c r="U371" s="4" t="str">
        <x:v>https://github.com/semantica-agi/semantica</x:v>
      </x:c>
      <x:c r="V371" s="4" t="str">
        <x:v>semantica-agi/semantica</x:v>
      </x:c>
    </x:row>
    <x:row r="372" ht="44" customHeight="1">
      <x:c r="A372" s="4" t="n">
        <x:v>367</x:v>
      </x:c>
      <x:c r="B372" s="4" t="str">
        <x:v>sgl-project/sglang</x:v>
      </x:c>
      <x:c r="C372" s="4" t="n">
        <x:v>11</x:v>
      </x:c>
      <x:c r="D372" s="4" t="str">
        <x:v>AI模型与机器学习</x:v>
      </x:c>
      <x:c r="E372" s="4" t="str">
        <x:v>本地证据分类</x:v>
      </x:c>
      <x:c r="F372" s="4" t="n">
        <x:v>1</x:v>
      </x:c>
      <x:c r="G372" s="4" t="str">
        <x:v>软件项目</x:v>
      </x:c>
      <x:c r="H372" s="4" t="str">
        <x:v>AI模型/推理</x:v>
      </x:c>
      <x:c r="I372" s="4" t="str">
        <x:v>当前页面未列入</x:v>
      </x:c>
      <x:c r="J372" s="4" t="str">
        <x:v>未记录</x:v>
      </x:c>
      <x:c r="K372" s="4" t="str">
        <x:v>未获取</x:v>
      </x:c>
      <x:c r="L372" s="4" t="str">
        <x:v>未记录</x:v>
      </x:c>
      <x:c r="M372" s="4" t="n">
        <x:v>0</x:v>
      </x:c>
      <x:c r="N372" s="4"/>
      <x:c r="O372" s="4"/>
      <x:c r="P372" s="9"/>
      <x:c r="Q372" s="4"/>
      <x:c r="R372" s="4" t="str">
        <x:v>项目名称/框架的明确功能定位；未逐一在线核验README</x:v>
      </x:c>
      <x:c r="S372" s="4" t="str">
        <x:v>GitHub月榜24-26</x:v>
      </x:c>
      <x:c r="T372" s="4" t="n">
        <x:v>370</x:v>
      </x:c>
      <x:c r="U372" s="4" t="str">
        <x:v>https://github.com/sgl-project/sglang</x:v>
      </x:c>
      <x:c r="V372" s="4" t="str">
        <x:v>sgl-project/sglang</x:v>
      </x:c>
    </x:row>
    <x:row r="373" ht="44" customHeight="1">
      <x:c r="A373" s="4" t="n">
        <x:v>368</x:v>
      </x:c>
      <x:c r="B373" s="4" t="str">
        <x:v>shadps4-emu/shadPS4</x:v>
      </x:c>
      <x:c r="C373" s="4" t="n">
        <x:v>9</x:v>
      </x:c>
      <x:c r="D373" s="4" t="str">
        <x:v>图形、多媒体与实时应用</x:v>
      </x:c>
      <x:c r="E373" s="4" t="str">
        <x:v>本地证据分类</x:v>
      </x:c>
      <x:c r="F373" s="4" t="n">
        <x:v>1</x:v>
      </x:c>
      <x:c r="G373" s="4" t="str">
        <x:v>软件项目</x:v>
      </x:c>
      <x:c r="H373" s="4" t="str">
        <x:v>媒体/图形</x:v>
      </x:c>
      <x:c r="I373" s="4" t="str">
        <x:v>当前页面未列入</x:v>
      </x:c>
      <x:c r="J373" s="4" t="str">
        <x:v>未记录</x:v>
      </x:c>
      <x:c r="K373" s="4" t="str">
        <x:v>未获取</x:v>
      </x:c>
      <x:c r="L373" s="4" t="str">
        <x:v>未记录</x:v>
      </x:c>
      <x:c r="M373" s="4" t="n">
        <x:v>0</x:v>
      </x:c>
      <x:c r="N373" s="4"/>
      <x:c r="O373" s="4"/>
      <x:c r="P373" s="9"/>
      <x:c r="Q373" s="4"/>
      <x:c r="R373" s="4" t="str">
        <x:v>项目名称/框架的明确功能定位；未逐一在线核验README</x:v>
      </x:c>
      <x:c r="S373" s="4" t="str">
        <x:v>GitHub月榜24-26</x:v>
      </x:c>
      <x:c r="T373" s="4" t="n">
        <x:v>371</x:v>
      </x:c>
      <x:c r="U373" s="4" t="str">
        <x:v>https://github.com/shadps4-emu/shadPS4</x:v>
      </x:c>
      <x:c r="V373" s="4" t="str">
        <x:v>shadps4-emu/shadps4</x:v>
      </x:c>
    </x:row>
    <x:row r="374" ht="44" customHeight="1">
      <x:c r="A374" s="4" t="n">
        <x:v>369</x:v>
      </x:c>
      <x:c r="B374" s="4" t="str">
        <x:v>shanraisshan/claude-code-best-practice</x:v>
      </x:c>
      <x:c r="C374" s="4"/>
      <x:c r="D374" s="4" t="str">
        <x:v>未归入15类</x:v>
      </x:c>
      <x:c r="E374" s="4" t="str">
        <x:v>范围排除</x:v>
      </x:c>
      <x:c r="F374" s="4" t="n">
        <x:v>0</x:v>
      </x:c>
      <x:c r="G374" s="4" t="str">
        <x:v>教程/资源/技能资产</x:v>
      </x:c>
      <x:c r="H374" s="4" t="str">
        <x:v>知识/数据资产</x:v>
      </x:c>
      <x:c r="I374" s="4" t="str">
        <x:v>当前页面未列入</x:v>
      </x:c>
      <x:c r="J374" s="4" t="str">
        <x:v>未记录</x:v>
      </x:c>
      <x:c r="K374" s="4" t="str">
        <x:v>未获取</x:v>
      </x:c>
      <x:c r="L374" s="4" t="str">
        <x:v>未记录</x:v>
      </x:c>
      <x:c r="M374" s="4" t="n">
        <x:v>0</x:v>
      </x:c>
      <x:c r="N374" s="4"/>
      <x:c r="O374" s="4"/>
      <x:c r="P374" s="9"/>
      <x:c r="Q374" s="4"/>
      <x:c r="R374" s="4" t="str">
        <x:v>按项目名称与已获取定位识别为知识、数据或技能资源；非独立软件能力证据</x:v>
      </x:c>
      <x:c r="S374" s="4" t="str">
        <x:v>GitHub月榜24-26</x:v>
      </x:c>
      <x:c r="T374" s="4" t="n">
        <x:v>372</x:v>
      </x:c>
      <x:c r="U374" s="4" t="str">
        <x:v>https://github.com/shanraisshan/claude-code-best-practice</x:v>
      </x:c>
      <x:c r="V374" s="4" t="str">
        <x:v>shanraisshan/claude-code-best-practice</x:v>
      </x:c>
    </x:row>
    <x:row r="375" ht="44" customHeight="1">
      <x:c r="A375" s="4" t="n">
        <x:v>370</x:v>
      </x:c>
      <x:c r="B375" s="4" t="str">
        <x:v>shareAI-lab/learn-claude-code</x:v>
      </x:c>
      <x:c r="C375" s="4"/>
      <x:c r="D375" s="4" t="str">
        <x:v>未归入15类</x:v>
      </x:c>
      <x:c r="E375" s="4" t="str">
        <x:v>范围排除</x:v>
      </x:c>
      <x:c r="F375" s="4" t="n">
        <x:v>0</x:v>
      </x:c>
      <x:c r="G375" s="4" t="str">
        <x:v>教程/资源/技能资产</x:v>
      </x:c>
      <x:c r="H375" s="4" t="str">
        <x:v>知识/数据资产</x:v>
      </x:c>
      <x:c r="I375" s="4" t="str">
        <x:v>Agent 与 AI 应用</x:v>
      </x:c>
      <x:c r="J375" s="4" t="str">
        <x:v>Python</x:v>
      </x:c>
      <x:c r="K375" s="4" t="str">
        <x:v>未获取</x:v>
      </x:c>
      <x:c r="L375" s="4" t="str">
        <x:v>未记录</x:v>
      </x:c>
      <x:c r="M375" s="4" t="n">
        <x:v>3</x:v>
      </x:c>
      <x:c r="N375" s="4" t="n">
        <x:v>3</x:v>
      </x:c>
      <x:c r="O375" s="4" t="n">
        <x:v>2</x:v>
      </x:c>
      <x:c r="P375" s="9" t="n">
        <x:v>0.6666666666666666</x:v>
      </x:c>
      <x:c r="Q375" s="4"/>
      <x:c r="R375" s="4" t="str">
        <x:v>按项目名称与已获取定位识别为知识、数据或技能资源；非独立软件能力证据</x:v>
      </x:c>
      <x:c r="S375" s="4" t="str">
        <x:v>GitHub月榜24-26</x:v>
      </x:c>
      <x:c r="T375" s="4" t="n">
        <x:v>373</x:v>
      </x:c>
      <x:c r="U375" s="4" t="str">
        <x:v>https://github.com/shareAI-lab/learn-claude-code</x:v>
      </x:c>
      <x:c r="V375" s="4" t="str">
        <x:v>shareai-lab/learn-claude-code</x:v>
      </x:c>
    </x:row>
    <x:row r="376" ht="44" customHeight="1">
      <x:c r="A376" s="4" t="n">
        <x:v>371</x:v>
      </x:c>
      <x:c r="B376" s="4" t="str">
        <x:v>sherlock-project/sherlock</x:v>
      </x:c>
      <x:c r="C376" s="4" t="n">
        <x:v>4</x:v>
      </x:c>
      <x:c r="D376" s="4" t="str">
        <x:v>安全与身份认证</x:v>
      </x:c>
      <x:c r="E376" s="4" t="str">
        <x:v>本地证据分类</x:v>
      </x:c>
      <x:c r="F376" s="4" t="n">
        <x:v>1</x:v>
      </x:c>
      <x:c r="G376" s="4" t="str">
        <x:v>软件项目</x:v>
      </x:c>
      <x:c r="H376" s="4" t="str">
        <x:v>公开信息检索/安全调查</x:v>
      </x:c>
      <x:c r="I376" s="4" t="str">
        <x:v>数据分析与科学计算</x:v>
      </x:c>
      <x:c r="J376" s="4" t="str">
        <x:v>Python</x:v>
      </x:c>
      <x:c r="K376" s="4" t="str">
        <x:v>未获取</x:v>
      </x:c>
      <x:c r="L376" s="4" t="str">
        <x:v>未记录</x:v>
      </x:c>
      <x:c r="M376" s="4" t="n">
        <x:v>14</x:v>
      </x:c>
      <x:c r="N376" s="4" t="n">
        <x:v>14</x:v>
      </x:c>
      <x:c r="O376" s="4" t="n">
        <x:v>9</x:v>
      </x:c>
      <x:c r="P376" s="9" t="n">
        <x:v>0.6428571428571429</x:v>
      </x:c>
      <x:c r="Q376" s="4"/>
      <x:c r="R376" s="4" t="str">
        <x:v>项目名称/框架的明确功能定位；未逐一在线核验README</x:v>
      </x:c>
      <x:c r="S376" s="4" t="str">
        <x:v>GitHub月榜24-26</x:v>
      </x:c>
      <x:c r="T376" s="4" t="n">
        <x:v>374</x:v>
      </x:c>
      <x:c r="U376" s="4" t="str">
        <x:v>https://github.com/sherlock-project/sherlock</x:v>
      </x:c>
      <x:c r="V376" s="4" t="str">
        <x:v>sherlock-project/sherlock</x:v>
      </x:c>
    </x:row>
    <x:row r="377" ht="44" customHeight="1">
      <x:c r="A377" s="4" t="n">
        <x:v>372</x:v>
      </x:c>
      <x:c r="B377" s="4" t="str">
        <x:v>shiyu-coder/Kronos</x:v>
      </x:c>
      <x:c r="C377" s="4" t="n">
        <x:v>11</x:v>
      </x:c>
      <x:c r="D377" s="4" t="str">
        <x:v>AI模型与机器学习</x:v>
      </x:c>
      <x:c r="E377" s="4" t="str">
        <x:v>本地证据分类</x:v>
      </x:c>
      <x:c r="F377" s="4" t="n">
        <x:v>1</x:v>
      </x:c>
      <x:c r="G377" s="4" t="str">
        <x:v>软件项目</x:v>
      </x:c>
      <x:c r="H377" s="4" t="str">
        <x:v>AI模型/推理</x:v>
      </x:c>
      <x:c r="I377" s="4" t="str">
        <x:v>数据分析与科学计算</x:v>
      </x:c>
      <x:c r="J377" s="4" t="str">
        <x:v>Python</x:v>
      </x:c>
      <x:c r="K377" s="4" t="str">
        <x:v>未获取</x:v>
      </x:c>
      <x:c r="L377" s="4" t="str">
        <x:v>未记录</x:v>
      </x:c>
      <x:c r="M377" s="4" t="n">
        <x:v>8</x:v>
      </x:c>
      <x:c r="N377" s="4" t="n">
        <x:v>8</x:v>
      </x:c>
      <x:c r="O377" s="4" t="n">
        <x:v>8</x:v>
      </x:c>
      <x:c r="P377" s="9" t="n">
        <x:v>1</x:v>
      </x:c>
      <x:c r="Q377" s="4"/>
      <x:c r="R377" s="4" t="str">
        <x:v>项目名称/框架的明确功能定位；未逐一在线核验README</x:v>
      </x:c>
      <x:c r="S377" s="4" t="str">
        <x:v>GitHub月榜24-26</x:v>
      </x:c>
      <x:c r="T377" s="4" t="n">
        <x:v>375</x:v>
      </x:c>
      <x:c r="U377" s="4" t="str">
        <x:v>https://github.com/shiyu-coder/Kronos</x:v>
      </x:c>
      <x:c r="V377" s="4" t="str">
        <x:v>shiyu-coder/kronos</x:v>
      </x:c>
    </x:row>
    <x:row r="378" ht="44" customHeight="1">
      <x:c r="A378" s="4" t="n">
        <x:v>373</x:v>
      </x:c>
      <x:c r="B378" s="4" t="str">
        <x:v>sickcodes/Docker-OSX</x:v>
      </x:c>
      <x:c r="C378" s="4" t="n">
        <x:v>2</x:v>
      </x:c>
      <x:c r="D378" s="4" t="str">
        <x:v>系统资源与原生互操作</x:v>
      </x:c>
      <x:c r="E378" s="4" t="str">
        <x:v>本地证据分类</x:v>
      </x:c>
      <x:c r="F378" s="4" t="n">
        <x:v>1</x:v>
      </x:c>
      <x:c r="G378" s="4" t="str">
        <x:v>软件项目</x:v>
      </x:c>
      <x:c r="H378" s="4" t="str">
        <x:v>原生/系统接口</x:v>
      </x:c>
      <x:c r="I378" s="4" t="str">
        <x:v>当前页面未列入</x:v>
      </x:c>
      <x:c r="J378" s="4" t="str">
        <x:v>未记录</x:v>
      </x:c>
      <x:c r="K378" s="4" t="str">
        <x:v>未获取</x:v>
      </x:c>
      <x:c r="L378" s="4" t="str">
        <x:v>未记录</x:v>
      </x:c>
      <x:c r="M378" s="4" t="n">
        <x:v>0</x:v>
      </x:c>
      <x:c r="N378" s="4"/>
      <x:c r="O378" s="4"/>
      <x:c r="P378" s="9"/>
      <x:c r="Q378" s="4"/>
      <x:c r="R378" s="4" t="str">
        <x:v>项目名称/框架的明确功能定位；未逐一在线核验README</x:v>
      </x:c>
      <x:c r="S378" s="4" t="str">
        <x:v>GitHub月榜24-26</x:v>
      </x:c>
      <x:c r="T378" s="4" t="n">
        <x:v>376</x:v>
      </x:c>
      <x:c r="U378" s="4" t="str">
        <x:v>https://github.com/sickcodes/Docker-OSX</x:v>
      </x:c>
      <x:c r="V378" s="4" t="str">
        <x:v>sickcodes/docker-osx</x:v>
      </x:c>
    </x:row>
    <x:row r="379" ht="44" customHeight="1">
      <x:c r="A379" s="4" t="n">
        <x:v>374</x:v>
      </x:c>
      <x:c r="B379" s="4" t="str">
        <x:v>siddharthvaddem/openscreen</x:v>
      </x:c>
      <x:c r="C379" s="4" t="n">
        <x:v>9</x:v>
      </x:c>
      <x:c r="D379" s="4" t="str">
        <x:v>图形、多媒体与实时应用</x:v>
      </x:c>
      <x:c r="E379" s="4" t="str">
        <x:v>本地证据分类</x:v>
      </x:c>
      <x:c r="F379" s="4" t="n">
        <x:v>1</x:v>
      </x:c>
      <x:c r="G379" s="4" t="str">
        <x:v>软件项目</x:v>
      </x:c>
      <x:c r="H379" s="4" t="str">
        <x:v>媒体/图形</x:v>
      </x:c>
      <x:c r="I379" s="4" t="str">
        <x:v>Web 与业务服务</x:v>
      </x:c>
      <x:c r="J379" s="4" t="str">
        <x:v>JavaScript/TypeScript</x:v>
      </x:c>
      <x:c r="K379" s="4" t="str">
        <x:v>未获取</x:v>
      </x:c>
      <x:c r="L379" s="4" t="str">
        <x:v>未记录</x:v>
      </x:c>
      <x:c r="M379" s="4" t="n">
        <x:v>36</x:v>
      </x:c>
      <x:c r="N379" s="4" t="n">
        <x:v>36</x:v>
      </x:c>
      <x:c r="O379" s="4" t="n">
        <x:v>30</x:v>
      </x:c>
      <x:c r="P379" s="9" t="n">
        <x:v>0.8333333333333334</x:v>
      </x:c>
      <x:c r="Q379" s="4"/>
      <x:c r="R379" s="4" t="str">
        <x:v>项目名称/框架的明确功能定位；未逐一在线核验README</x:v>
      </x:c>
      <x:c r="S379" s="4" t="str">
        <x:v>GitHub月榜24-26</x:v>
      </x:c>
      <x:c r="T379" s="4" t="n">
        <x:v>377</x:v>
      </x:c>
      <x:c r="U379" s="4" t="str">
        <x:v>https://github.com/siddharthvaddem/openscreen</x:v>
      </x:c>
      <x:c r="V379" s="4" t="str">
        <x:v>siddharthvaddem/openscreen</x:v>
      </x:c>
    </x:row>
    <x:row r="380" ht="44" customHeight="1">
      <x:c r="A380" s="4" t="n">
        <x:v>375</x:v>
      </x:c>
      <x:c r="B380" s="4" t="str">
        <x:v>simdjson/simdjson</x:v>
      </x:c>
      <x:c r="C380" s="4" t="n">
        <x:v>1</x:v>
      </x:c>
      <x:c r="D380" s="4" t="str">
        <x:v>基础编程与通用工具</x:v>
      </x:c>
      <x:c r="E380" s="4" t="str">
        <x:v>本地证据分类</x:v>
      </x:c>
      <x:c r="F380" s="4" t="n">
        <x:v>1</x:v>
      </x:c>
      <x:c r="G380" s="4" t="str">
        <x:v>软件项目</x:v>
      </x:c>
      <x:c r="H380" s="4" t="str"/>
      <x:c r="I380" s="4" t="str">
        <x:v>当前页面未列入</x:v>
      </x:c>
      <x:c r="J380" s="4" t="str">
        <x:v>未记录</x:v>
      </x:c>
      <x:c r="K380" s="4" t="str">
        <x:v>未获取</x:v>
      </x:c>
      <x:c r="L380" s="4" t="str">
        <x:v>未记录</x:v>
      </x:c>
      <x:c r="M380" s="4" t="n">
        <x:v>0</x:v>
      </x:c>
      <x:c r="N380" s="4"/>
      <x:c r="O380" s="4"/>
      <x:c r="P380" s="9"/>
      <x:c r="Q380" s="4"/>
      <x:c r="R380" s="4" t="str">
        <x:v>项目名称/框架的明确功能定位；未逐一在线核验README</x:v>
      </x:c>
      <x:c r="S380" s="4" t="str">
        <x:v>GitHub月榜24-26</x:v>
      </x:c>
      <x:c r="T380" s="4" t="n">
        <x:v>378</x:v>
      </x:c>
      <x:c r="U380" s="4" t="str">
        <x:v>https://github.com/simdjson/simdjson</x:v>
      </x:c>
      <x:c r="V380" s="4" t="str">
        <x:v>simdjson/simdjson</x:v>
      </x:c>
    </x:row>
    <x:row r="381" ht="44" customHeight="1">
      <x:c r="A381" s="4" t="n">
        <x:v>376</x:v>
      </x:c>
      <x:c r="B381" s="4" t="str">
        <x:v>simstudioai/sim</x:v>
      </x:c>
      <x:c r="C381" s="4" t="n">
        <x:v>13</x:v>
      </x:c>
      <x:c r="D381" s="4" t="str">
        <x:v>Agent编排与工具执行</x:v>
      </x:c>
      <x:c r="E381" s="4" t="str">
        <x:v>本地证据分类</x:v>
      </x:c>
      <x:c r="F381" s="4" t="n">
        <x:v>1</x:v>
      </x:c>
      <x:c r="G381" s="4" t="str">
        <x:v>软件项目</x:v>
      </x:c>
      <x:c r="H381" s="4" t="str">
        <x:v>Agent/模型与工具</x:v>
      </x:c>
      <x:c r="I381" s="4" t="str">
        <x:v>Web 与业务服务</x:v>
      </x:c>
      <x:c r="J381" s="4" t="str">
        <x:v>JavaScript/TypeScript</x:v>
      </x:c>
      <x:c r="K381" s="4" t="str">
        <x:v>未获取</x:v>
      </x:c>
      <x:c r="L381" s="4" t="str">
        <x:v>未记录</x:v>
      </x:c>
      <x:c r="M381" s="4" t="n">
        <x:v>18</x:v>
      </x:c>
      <x:c r="N381" s="4" t="n">
        <x:v>18</x:v>
      </x:c>
      <x:c r="O381" s="4" t="n">
        <x:v>13</x:v>
      </x:c>
      <x:c r="P381" s="9" t="n">
        <x:v>0.7222222222222222</x:v>
      </x:c>
      <x:c r="Q381" s="4"/>
      <x:c r="R381" s="4" t="str">
        <x:v>项目名称/框架的明确功能定位；未逐一在线核验README</x:v>
      </x:c>
      <x:c r="S381" s="4" t="str">
        <x:v>GitHub月榜24-26</x:v>
      </x:c>
      <x:c r="T381" s="4" t="n">
        <x:v>379</x:v>
      </x:c>
      <x:c r="U381" s="4" t="str">
        <x:v>https://github.com/simstudioai/sim</x:v>
      </x:c>
      <x:c r="V381" s="4" t="str">
        <x:v>simstudioai/sim</x:v>
      </x:c>
    </x:row>
    <x:row r="382" ht="44" customHeight="1">
      <x:c r="A382" s="4" t="n">
        <x:v>377</x:v>
      </x:c>
      <x:c r="B382" s="4" t="str">
        <x:v>siyuan-note/siyuan</x:v>
      </x:c>
      <x:c r="C382" s="4" t="n">
        <x:v>10</x:v>
      </x:c>
      <x:c r="D382" s="4" t="str">
        <x:v>文档与办公数据处理</x:v>
      </x:c>
      <x:c r="E382" s="4" t="str">
        <x:v>本地证据分类</x:v>
      </x:c>
      <x:c r="F382" s="4" t="n">
        <x:v>1</x:v>
      </x:c>
      <x:c r="G382" s="4" t="str">
        <x:v>软件项目</x:v>
      </x:c>
      <x:c r="H382" s="4" t="str">
        <x:v>文档/知识内容</x:v>
      </x:c>
      <x:c r="I382" s="4" t="str">
        <x:v>当前页面未列入</x:v>
      </x:c>
      <x:c r="J382" s="4" t="str">
        <x:v>未记录</x:v>
      </x:c>
      <x:c r="K382" s="4" t="str">
        <x:v>未获取</x:v>
      </x:c>
      <x:c r="L382" s="4" t="str">
        <x:v>未记录</x:v>
      </x:c>
      <x:c r="M382" s="4" t="n">
        <x:v>0</x:v>
      </x:c>
      <x:c r="N382" s="4"/>
      <x:c r="O382" s="4"/>
      <x:c r="P382" s="9"/>
      <x:c r="Q382" s="4"/>
      <x:c r="R382" s="4" t="str">
        <x:v>项目名称/框架的明确功能定位；未逐一在线核验README</x:v>
      </x:c>
      <x:c r="S382" s="4" t="str">
        <x:v>GitHub月榜24-26</x:v>
      </x:c>
      <x:c r="T382" s="4" t="n">
        <x:v>380</x:v>
      </x:c>
      <x:c r="U382" s="4" t="str">
        <x:v>https://github.com/siyuan-note/siyuan</x:v>
      </x:c>
      <x:c r="V382" s="4" t="str">
        <x:v>siyuan-note/siyuan</x:v>
      </x:c>
    </x:row>
    <x:row r="383" ht="44" customHeight="1">
      <x:c r="A383" s="4" t="n">
        <x:v>378</x:v>
      </x:c>
      <x:c r="B383" s="4" t="str">
        <x:v>songquanpeng/one-api</x:v>
      </x:c>
      <x:c r="C383" s="4" t="n">
        <x:v>11</x:v>
      </x:c>
      <x:c r="D383" s="4" t="str">
        <x:v>AI模型与机器学习</x:v>
      </x:c>
      <x:c r="E383" s="4" t="str">
        <x:v>本地证据分类</x:v>
      </x:c>
      <x:c r="F383" s="4" t="n">
        <x:v>1</x:v>
      </x:c>
      <x:c r="G383" s="4" t="str">
        <x:v>软件项目</x:v>
      </x:c>
      <x:c r="H383" s="4" t="str">
        <x:v>AI模型/推理</x:v>
      </x:c>
      <x:c r="I383" s="4" t="str">
        <x:v>数据库、存储与中间件</x:v>
      </x:c>
      <x:c r="J383" s="4" t="str">
        <x:v>Go</x:v>
      </x:c>
      <x:c r="K383" s="4" t="str">
        <x:v>未获取</x:v>
      </x:c>
      <x:c r="L383" s="4" t="str">
        <x:v>未记录</x:v>
      </x:c>
      <x:c r="M383" s="4" t="n">
        <x:v>101</x:v>
      </x:c>
      <x:c r="N383" s="4" t="n">
        <x:v>101</x:v>
      </x:c>
      <x:c r="O383" s="4" t="n">
        <x:v>0</x:v>
      </x:c>
      <x:c r="P383" s="9" t="n">
        <x:v>0</x:v>
      </x:c>
      <x:c r="Q383" s="4"/>
      <x:c r="R383" s="4" t="str">
        <x:v>项目名称/框架的明确功能定位；未逐一在线核验README</x:v>
      </x:c>
      <x:c r="S383" s="4" t="str">
        <x:v>GitHub月榜24-26</x:v>
      </x:c>
      <x:c r="T383" s="4" t="n">
        <x:v>381</x:v>
      </x:c>
      <x:c r="U383" s="4" t="str">
        <x:v>https://github.com/songquanpeng/one-api</x:v>
      </x:c>
      <x:c r="V383" s="4" t="str">
        <x:v>songquanpeng/one-api</x:v>
      </x:c>
    </x:row>
    <x:row r="384" ht="44" customHeight="1">
      <x:c r="A384" s="4" t="n">
        <x:v>379</x:v>
      </x:c>
      <x:c r="B384" s="4" t="str">
        <x:v>soxoj/maigret</x:v>
      </x:c>
      <x:c r="C384" s="4" t="n">
        <x:v>4</x:v>
      </x:c>
      <x:c r="D384" s="4" t="str">
        <x:v>安全与身份认证</x:v>
      </x:c>
      <x:c r="E384" s="4" t="str">
        <x:v>本地证据分类</x:v>
      </x:c>
      <x:c r="F384" s="4" t="n">
        <x:v>1</x:v>
      </x:c>
      <x:c r="G384" s="4" t="str">
        <x:v>软件项目</x:v>
      </x:c>
      <x:c r="H384" s="4" t="str">
        <x:v>公开信息检索/安全调查</x:v>
      </x:c>
      <x:c r="I384" s="4" t="str">
        <x:v>办公文档与知识管理</x:v>
      </x:c>
      <x:c r="J384" s="4" t="str">
        <x:v>Python</x:v>
      </x:c>
      <x:c r="K384" s="4" t="str">
        <x:v>未获取</x:v>
      </x:c>
      <x:c r="L384" s="4" t="str">
        <x:v>未记录</x:v>
      </x:c>
      <x:c r="M384" s="4" t="n">
        <x:v>31</x:v>
      </x:c>
      <x:c r="N384" s="4" t="n">
        <x:v>31</x:v>
      </x:c>
      <x:c r="O384" s="4" t="n">
        <x:v>19</x:v>
      </x:c>
      <x:c r="P384" s="9" t="n">
        <x:v>0.6129032258064516</x:v>
      </x:c>
      <x:c r="Q384" s="4"/>
      <x:c r="R384" s="4" t="str">
        <x:v>项目名称/框架的明确功能定位；未逐一在线核验README</x:v>
      </x:c>
      <x:c r="S384" s="4" t="str">
        <x:v>GitHub月榜24-26</x:v>
      </x:c>
      <x:c r="T384" s="4" t="n">
        <x:v>382</x:v>
      </x:c>
      <x:c r="U384" s="4" t="str">
        <x:v>https://github.com/soxoj/maigret</x:v>
      </x:c>
      <x:c r="V384" s="4" t="str">
        <x:v>soxoj/maigret</x:v>
      </x:c>
    </x:row>
    <x:row r="385" ht="44" customHeight="1">
      <x:c r="A385" s="4" t="n">
        <x:v>380</x:v>
      </x:c>
      <x:c r="B385" s="4" t="str">
        <x:v>sst/opencode</x:v>
      </x:c>
      <x:c r="C385" s="4" t="n">
        <x:v>14</x:v>
      </x:c>
      <x:c r="D385" s="4" t="str">
        <x:v>软件构建、开发与测试</x:v>
      </x:c>
      <x:c r="E385" s="4" t="str">
        <x:v>本地证据分类</x:v>
      </x:c>
      <x:c r="F385" s="4" t="n">
        <x:v>1</x:v>
      </x:c>
      <x:c r="G385" s="4" t="str">
        <x:v>软件项目</x:v>
      </x:c>
      <x:c r="H385" s="4" t="str">
        <x:v>软件工程；编程Agent需额外挂13标签</x:v>
      </x:c>
      <x:c r="I385" s="4" t="str">
        <x:v>Agent 与 AI 应用</x:v>
      </x:c>
      <x:c r="J385" s="4" t="str">
        <x:v>JavaScript/TypeScript</x:v>
      </x:c>
      <x:c r="K385" s="4" t="str">
        <x:v>未获取</x:v>
      </x:c>
      <x:c r="L385" s="4" t="str">
        <x:v>未记录</x:v>
      </x:c>
      <x:c r="M385" s="4" t="n">
        <x:v>12</x:v>
      </x:c>
      <x:c r="N385" s="4" t="n">
        <x:v>12</x:v>
      </x:c>
      <x:c r="O385" s="4" t="n">
        <x:v>6</x:v>
      </x:c>
      <x:c r="P385" s="9" t="n">
        <x:v>0.5</x:v>
      </x:c>
      <x:c r="Q385" s="4"/>
      <x:c r="R385" s="4" t="str">
        <x:v>项目名称/框架的明确功能定位；未逐一在线核验README</x:v>
      </x:c>
      <x:c r="S385" s="4" t="str">
        <x:v>GitHub月榜24-26</x:v>
      </x:c>
      <x:c r="T385" s="4" t="n">
        <x:v>383</x:v>
      </x:c>
      <x:c r="U385" s="4" t="str">
        <x:v>https://github.com/sst/opencode</x:v>
      </x:c>
      <x:c r="V385" s="4" t="str">
        <x:v>sst/opencode</x:v>
      </x:c>
    </x:row>
    <x:row r="386" ht="44" customHeight="1">
      <x:c r="A386" s="4" t="n">
        <x:v>381</x:v>
      </x:c>
      <x:c r="B386" s="4" t="str">
        <x:v>stablyai/orca</x:v>
      </x:c>
      <x:c r="C386" s="4" t="n">
        <x:v>14</x:v>
      </x:c>
      <x:c r="D386" s="4" t="str">
        <x:v>软件构建、开发与测试</x:v>
      </x:c>
      <x:c r="E386" s="4" t="str">
        <x:v>元数据已核验</x:v>
      </x:c>
      <x:c r="F386" s="4" t="n">
        <x:v>1</x:v>
      </x:c>
      <x:c r="G386" s="4" t="str">
        <x:v>软件项目</x:v>
      </x:c>
      <x:c r="H386" s="4" t="str">
        <x:v>软件工程；编程Agent需额外挂13标签</x:v>
      </x:c>
      <x:c r="I386" s="4" t="str">
        <x:v>Agent 与 AI 应用</x:v>
      </x:c>
      <x:c r="J386" s="4" t="str">
        <x:v>JavaScript/TypeScript</x:v>
      </x:c>
      <x:c r="K386" s="4" t="str">
        <x:v>TypeScript</x:v>
      </x:c>
      <x:c r="L386" s="4" t="str">
        <x:v>未记录</x:v>
      </x:c>
      <x:c r="M386" s="4" t="n">
        <x:v>85</x:v>
      </x:c>
      <x:c r="N386" s="4" t="n">
        <x:v>85</x:v>
      </x:c>
      <x:c r="O386" s="4" t="n">
        <x:v>59</x:v>
      </x:c>
      <x:c r="P386" s="9" t="n">
        <x:v>0.6941176470588235</x:v>
      </x:c>
      <x:c r="Q386" s="4"/>
      <x:c r="R386" s="4" t="str">
        <x:v>项目定位与GitHub描述人工对照</x:v>
      </x:c>
      <x:c r="S386" s="4" t="str">
        <x:v>GitHub月榜24-26</x:v>
      </x:c>
      <x:c r="T386" s="4" t="n">
        <x:v>384</x:v>
      </x:c>
      <x:c r="U386" s="4" t="str">
        <x:v>https://github.com/stablyai/orca</x:v>
      </x:c>
      <x:c r="V386" s="4" t="str">
        <x:v>stablyai/orca</x:v>
      </x:c>
    </x:row>
    <x:row r="387" ht="44" customHeight="1">
      <x:c r="A387" s="4" t="n">
        <x:v>382</x:v>
      </x:c>
      <x:c r="B387" s="4" t="str">
        <x:v>stanford-oval/storm</x:v>
      </x:c>
      <x:c r="C387" s="4" t="n">
        <x:v>13</x:v>
      </x:c>
      <x:c r="D387" s="4" t="str">
        <x:v>Agent编排与工具执行</x:v>
      </x:c>
      <x:c r="E387" s="4" t="str">
        <x:v>本地证据分类</x:v>
      </x:c>
      <x:c r="F387" s="4" t="n">
        <x:v>1</x:v>
      </x:c>
      <x:c r="G387" s="4" t="str">
        <x:v>软件项目</x:v>
      </x:c>
      <x:c r="H387" s="4" t="str">
        <x:v>Agent/模型与工具</x:v>
      </x:c>
      <x:c r="I387" s="4" t="str">
        <x:v>Agent 与 AI 应用</x:v>
      </x:c>
      <x:c r="J387" s="4" t="str">
        <x:v>Python</x:v>
      </x:c>
      <x:c r="K387" s="4" t="str">
        <x:v>未获取</x:v>
      </x:c>
      <x:c r="L387" s="4" t="str">
        <x:v>未记录</x:v>
      </x:c>
      <x:c r="M387" s="4" t="n">
        <x:v>12</x:v>
      </x:c>
      <x:c r="N387" s="4" t="n">
        <x:v>12</x:v>
      </x:c>
      <x:c r="O387" s="4" t="n">
        <x:v>8</x:v>
      </x:c>
      <x:c r="P387" s="9" t="n">
        <x:v>0.6666666666666666</x:v>
      </x:c>
      <x:c r="Q387" s="4"/>
      <x:c r="R387" s="4" t="str">
        <x:v>项目名称/框架的明确功能定位；未逐一在线核验README</x:v>
      </x:c>
      <x:c r="S387" s="4" t="str">
        <x:v>GitHub月榜24-26</x:v>
      </x:c>
      <x:c r="T387" s="4" t="n">
        <x:v>385</x:v>
      </x:c>
      <x:c r="U387" s="4" t="str">
        <x:v>https://github.com/stanford-oval/storm</x:v>
      </x:c>
      <x:c r="V387" s="4" t="str">
        <x:v>stanford-oval/storm</x:v>
      </x:c>
    </x:row>
    <x:row r="388" ht="44" customHeight="1">
      <x:c r="A388" s="4" t="n">
        <x:v>383</x:v>
      </x:c>
      <x:c r="B388" s="4" t="str">
        <x:v>steveyegge/beads</x:v>
      </x:c>
      <x:c r="C388" s="4" t="n">
        <x:v>14</x:v>
      </x:c>
      <x:c r="D388" s="4" t="str">
        <x:v>软件构建、开发与测试</x:v>
      </x:c>
      <x:c r="E388" s="4" t="str">
        <x:v>本地证据分类</x:v>
      </x:c>
      <x:c r="F388" s="4" t="n">
        <x:v>1</x:v>
      </x:c>
      <x:c r="G388" s="4" t="str">
        <x:v>软件项目</x:v>
      </x:c>
      <x:c r="H388" s="4" t="str">
        <x:v>软件工程/开发工具</x:v>
      </x:c>
      <x:c r="I388" s="4" t="str">
        <x:v>云原生、运维与安全</x:v>
      </x:c>
      <x:c r="J388" s="4" t="str">
        <x:v>Go</x:v>
      </x:c>
      <x:c r="K388" s="4" t="str">
        <x:v>未获取</x:v>
      </x:c>
      <x:c r="L388" s="4" t="str">
        <x:v>未记录</x:v>
      </x:c>
      <x:c r="M388" s="4" t="n">
        <x:v>268</x:v>
      </x:c>
      <x:c r="N388" s="4" t="n">
        <x:v>268</x:v>
      </x:c>
      <x:c r="O388" s="4" t="n">
        <x:v>0</x:v>
      </x:c>
      <x:c r="P388" s="9" t="n">
        <x:v>0</x:v>
      </x:c>
      <x:c r="Q388" s="4"/>
      <x:c r="R388" s="4" t="str">
        <x:v>项目名称/框架的明确功能定位；未逐一在线核验README</x:v>
      </x:c>
      <x:c r="S388" s="4" t="str">
        <x:v>GitHub月榜24-26</x:v>
      </x:c>
      <x:c r="T388" s="4" t="n">
        <x:v>386</x:v>
      </x:c>
      <x:c r="U388" s="4" t="str">
        <x:v>https://github.com/steveyegge/beads</x:v>
      </x:c>
      <x:c r="V388" s="4" t="str">
        <x:v>steveyegge/beads</x:v>
      </x:c>
    </x:row>
    <x:row r="389" ht="44" customHeight="1">
      <x:c r="A389" s="4" t="n">
        <x:v>384</x:v>
      </x:c>
      <x:c r="B389" s="4" t="str">
        <x:v>systemdesign42/system-design</x:v>
      </x:c>
      <x:c r="C389" s="4"/>
      <x:c r="D389" s="4" t="str">
        <x:v>未归入15类</x:v>
      </x:c>
      <x:c r="E389" s="4" t="str">
        <x:v>范围排除</x:v>
      </x:c>
      <x:c r="F389" s="4" t="n">
        <x:v>0</x:v>
      </x:c>
      <x:c r="G389" s="4" t="str">
        <x:v>教程/资源/技能资产</x:v>
      </x:c>
      <x:c r="H389" s="4" t="str">
        <x:v>知识/数据资产</x:v>
      </x:c>
      <x:c r="I389" s="4" t="str">
        <x:v>当前页面未列入</x:v>
      </x:c>
      <x:c r="J389" s="4" t="str">
        <x:v>未记录</x:v>
      </x:c>
      <x:c r="K389" s="4" t="str">
        <x:v>未获取</x:v>
      </x:c>
      <x:c r="L389" s="4" t="str">
        <x:v>未记录</x:v>
      </x:c>
      <x:c r="M389" s="4" t="n">
        <x:v>0</x:v>
      </x:c>
      <x:c r="N389" s="4"/>
      <x:c r="O389" s="4"/>
      <x:c r="P389" s="9"/>
      <x:c r="Q389" s="4"/>
      <x:c r="R389" s="4" t="str">
        <x:v>按项目名称与已获取定位识别为知识、数据或技能资源；非独立软件能力证据</x:v>
      </x:c>
      <x:c r="S389" s="4" t="str">
        <x:v>GitHub月榜24-26</x:v>
      </x:c>
      <x:c r="T389" s="4" t="n">
        <x:v>387</x:v>
      </x:c>
      <x:c r="U389" s="4" t="str">
        <x:v>https://github.com/systemdesign42/system-design</x:v>
      </x:c>
      <x:c r="V389" s="4" t="str">
        <x:v>systemdesign42/system-design</x:v>
      </x:c>
    </x:row>
    <x:row r="390" ht="44" customHeight="1">
      <x:c r="A390" s="4" t="n">
        <x:v>385</x:v>
      </x:c>
      <x:c r="B390" s="4" t="str">
        <x:v>th-ch/youtube-music</x:v>
      </x:c>
      <x:c r="C390" s="4" t="n">
        <x:v>9</x:v>
      </x:c>
      <x:c r="D390" s="4" t="str">
        <x:v>图形、多媒体与实时应用</x:v>
      </x:c>
      <x:c r="E390" s="4" t="str">
        <x:v>本地证据分类</x:v>
      </x:c>
      <x:c r="F390" s="4" t="n">
        <x:v>1</x:v>
      </x:c>
      <x:c r="G390" s="4" t="str">
        <x:v>软件项目</x:v>
      </x:c>
      <x:c r="H390" s="4" t="str">
        <x:v>媒体/图形</x:v>
      </x:c>
      <x:c r="I390" s="4" t="str">
        <x:v>多媒体与图形</x:v>
      </x:c>
      <x:c r="J390" s="4" t="str">
        <x:v>JavaScript/TypeScript</x:v>
      </x:c>
      <x:c r="K390" s="4" t="str">
        <x:v>未获取</x:v>
      </x:c>
      <x:c r="L390" s="4" t="str">
        <x:v>未记录</x:v>
      </x:c>
      <x:c r="M390" s="4" t="n">
        <x:v>91</x:v>
      </x:c>
      <x:c r="N390" s="4" t="n">
        <x:v>91</x:v>
      </x:c>
      <x:c r="O390" s="4" t="n">
        <x:v>53</x:v>
      </x:c>
      <x:c r="P390" s="9" t="n">
        <x:v>0.5824175824175825</x:v>
      </x:c>
      <x:c r="Q390" s="4"/>
      <x:c r="R390" s="4" t="str">
        <x:v>项目名称/框架的明确功能定位；未逐一在线核验README</x:v>
      </x:c>
      <x:c r="S390" s="4" t="str">
        <x:v>GitHub月榜24-26</x:v>
      </x:c>
      <x:c r="T390" s="4" t="n">
        <x:v>388</x:v>
      </x:c>
      <x:c r="U390" s="4" t="str">
        <x:v>https://github.com/th-ch/youtube-music</x:v>
      </x:c>
      <x:c r="V390" s="4" t="str">
        <x:v>th-ch/youtube-music</x:v>
      </x:c>
    </x:row>
    <x:row r="391" ht="44" customHeight="1">
      <x:c r="A391" s="4" t="n">
        <x:v>386</x:v>
      </x:c>
      <x:c r="B391" s="4" t="str">
        <x:v>thedotmack/claude-mem</x:v>
      </x:c>
      <x:c r="C391" s="4" t="n">
        <x:v>13</x:v>
      </x:c>
      <x:c r="D391" s="4" t="str">
        <x:v>Agent编排与工具执行</x:v>
      </x:c>
      <x:c r="E391" s="4" t="str">
        <x:v>本地证据分类</x:v>
      </x:c>
      <x:c r="F391" s="4" t="n">
        <x:v>1</x:v>
      </x:c>
      <x:c r="G391" s="4" t="str">
        <x:v>软件项目</x:v>
      </x:c>
      <x:c r="H391" s="4" t="str">
        <x:v>Agent/模型与工具</x:v>
      </x:c>
      <x:c r="I391" s="4" t="str">
        <x:v>Agent 与 AI 应用</x:v>
      </x:c>
      <x:c r="J391" s="4" t="str">
        <x:v>JavaScript/TypeScript</x:v>
      </x:c>
      <x:c r="K391" s="4" t="str">
        <x:v>未获取</x:v>
      </x:c>
      <x:c r="L391" s="4" t="str">
        <x:v>未记录</x:v>
      </x:c>
      <x:c r="M391" s="4" t="n">
        <x:v>46</x:v>
      </x:c>
      <x:c r="N391" s="4" t="n">
        <x:v>46</x:v>
      </x:c>
      <x:c r="O391" s="4" t="n">
        <x:v>20</x:v>
      </x:c>
      <x:c r="P391" s="9" t="n">
        <x:v>0.43478260869565216</x:v>
      </x:c>
      <x:c r="Q391" s="4"/>
      <x:c r="R391" s="4" t="str">
        <x:v>项目名称/框架的明确功能定位；未逐一在线核验README</x:v>
      </x:c>
      <x:c r="S391" s="4" t="str">
        <x:v>GitHub月榜24-26</x:v>
      </x:c>
      <x:c r="T391" s="4" t="n">
        <x:v>389</x:v>
      </x:c>
      <x:c r="U391" s="4" t="str">
        <x:v>https://github.com/thedotmack/claude-mem</x:v>
      </x:c>
      <x:c r="V391" s="4" t="str">
        <x:v>thedotmack/claude-mem</x:v>
      </x:c>
    </x:row>
    <x:row r="392" ht="44" customHeight="1">
      <x:c r="A392" s="4" t="n">
        <x:v>387</x:v>
      </x:c>
      <x:c r="B392" s="4" t="str">
        <x:v>tiangolo/fastapi</x:v>
      </x:c>
      <x:c r="C392" s="4" t="n">
        <x:v>6</x:v>
      </x:c>
      <x:c r="D392" s="4" t="str">
        <x:v>后端服务与业务流程</x:v>
      </x:c>
      <x:c r="E392" s="4" t="str">
        <x:v>本地证据分类</x:v>
      </x:c>
      <x:c r="F392" s="4" t="n">
        <x:v>1</x:v>
      </x:c>
      <x:c r="G392" s="4" t="str">
        <x:v>软件项目</x:v>
      </x:c>
      <x:c r="H392" s="4" t="str">
        <x:v>业务应用/确定性工作流</x:v>
      </x:c>
      <x:c r="I392" s="4" t="str">
        <x:v>Web 与业务服务</x:v>
      </x:c>
      <x:c r="J392" s="4" t="str">
        <x:v>Python</x:v>
      </x:c>
      <x:c r="K392" s="4" t="str">
        <x:v>未获取</x:v>
      </x:c>
      <x:c r="L392" s="4" t="str">
        <x:v>未记录</x:v>
      </x:c>
      <x:c r="M392" s="4" t="n">
        <x:v>4</x:v>
      </x:c>
      <x:c r="N392" s="4" t="n">
        <x:v>4</x:v>
      </x:c>
      <x:c r="O392" s="4" t="n">
        <x:v>3</x:v>
      </x:c>
      <x:c r="P392" s="9" t="n">
        <x:v>0.75</x:v>
      </x:c>
      <x:c r="Q392" s="4"/>
      <x:c r="R392" s="4" t="str">
        <x:v>项目名称/框架的明确功能定位；未逐一在线核验README</x:v>
      </x:c>
      <x:c r="S392" s="4" t="str">
        <x:v>GitHub月榜24-26</x:v>
      </x:c>
      <x:c r="T392" s="4" t="n">
        <x:v>390</x:v>
      </x:c>
      <x:c r="U392" s="4" t="str">
        <x:v>https://github.com/tiangolo/fastapi</x:v>
      </x:c>
      <x:c r="V392" s="4" t="str">
        <x:v>tiangolo/fastapi</x:v>
      </x:c>
    </x:row>
    <x:row r="393" ht="44" customHeight="1">
      <x:c r="A393" s="4" t="n">
        <x:v>388</x:v>
      </x:c>
      <x:c r="B393" s="4" t="str">
        <x:v>tinyhumansai/openhuman</x:v>
      </x:c>
      <x:c r="C393" s="4" t="n">
        <x:v>12</x:v>
      </x:c>
      <x:c r="D393" s="4" t="str">
        <x:v>办公软件与桌面操作自动化</x:v>
      </x:c>
      <x:c r="E393" s="4" t="str">
        <x:v>本地证据分类</x:v>
      </x:c>
      <x:c r="F393" s="4" t="n">
        <x:v>1</x:v>
      </x:c>
      <x:c r="G393" s="4" t="str">
        <x:v>软件项目</x:v>
      </x:c>
      <x:c r="H393" s="4" t="str">
        <x:v>办公/浏览器执行</x:v>
      </x:c>
      <x:c r="I393" s="4" t="str">
        <x:v>行业与其他应用</x:v>
      </x:c>
      <x:c r="J393" s="4" t="str">
        <x:v>JavaScript/TypeScript</x:v>
      </x:c>
      <x:c r="K393" s="4" t="str">
        <x:v>未获取</x:v>
      </x:c>
      <x:c r="L393" s="4" t="str">
        <x:v>未记录</x:v>
      </x:c>
      <x:c r="M393" s="4" t="n">
        <x:v>2</x:v>
      </x:c>
      <x:c r="N393" s="4" t="n">
        <x:v>2</x:v>
      </x:c>
      <x:c r="O393" s="4" t="n">
        <x:v>2</x:v>
      </x:c>
      <x:c r="P393" s="9" t="n">
        <x:v>1</x:v>
      </x:c>
      <x:c r="Q393" s="4"/>
      <x:c r="R393" s="4" t="str">
        <x:v>项目名称/框架的明确功能定位；未逐一在线核验README</x:v>
      </x:c>
      <x:c r="S393" s="4" t="str">
        <x:v>GitHub月榜24-26</x:v>
      </x:c>
      <x:c r="T393" s="4" t="n">
        <x:v>391</x:v>
      </x:c>
      <x:c r="U393" s="4" t="str">
        <x:v>https://github.com/tinyhumansai/openhuman</x:v>
      </x:c>
      <x:c r="V393" s="4" t="str">
        <x:v>tinyhumansai/openhuman</x:v>
      </x:c>
    </x:row>
    <x:row r="394" ht="44" customHeight="1">
      <x:c r="A394" s="4" t="n">
        <x:v>389</x:v>
      </x:c>
      <x:c r="B394" s="4" t="str">
        <x:v>tldraw/tldraw</x:v>
      </x:c>
      <x:c r="C394" s="4" t="n">
        <x:v>9</x:v>
      </x:c>
      <x:c r="D394" s="4" t="str">
        <x:v>图形、多媒体与实时应用</x:v>
      </x:c>
      <x:c r="E394" s="4" t="str">
        <x:v>本地证据分类</x:v>
      </x:c>
      <x:c r="F394" s="4" t="n">
        <x:v>1</x:v>
      </x:c>
      <x:c r="G394" s="4" t="str">
        <x:v>软件项目</x:v>
      </x:c>
      <x:c r="H394" s="4" t="str">
        <x:v>媒体/图形</x:v>
      </x:c>
      <x:c r="I394" s="4" t="str">
        <x:v>多媒体与图形</x:v>
      </x:c>
      <x:c r="J394" s="4" t="str">
        <x:v>JavaScript/TypeScript</x:v>
      </x:c>
      <x:c r="K394" s="4" t="str">
        <x:v>未获取</x:v>
      </x:c>
      <x:c r="L394" s="4" t="str">
        <x:v>未记录</x:v>
      </x:c>
      <x:c r="M394" s="4" t="n">
        <x:v>21</x:v>
      </x:c>
      <x:c r="N394" s="4" t="n">
        <x:v>21</x:v>
      </x:c>
      <x:c r="O394" s="4" t="n">
        <x:v>16</x:v>
      </x:c>
      <x:c r="P394" s="9" t="n">
        <x:v>0.7619047619047619</x:v>
      </x:c>
      <x:c r="Q394" s="4"/>
      <x:c r="R394" s="4" t="str">
        <x:v>项目名称/框架的明确功能定位；未逐一在线核验README</x:v>
      </x:c>
      <x:c r="S394" s="4" t="str">
        <x:v>GitHub月榜24-26</x:v>
      </x:c>
      <x:c r="T394" s="4" t="n">
        <x:v>392</x:v>
      </x:c>
      <x:c r="U394" s="4" t="str">
        <x:v>https://github.com/tldraw/tldraw</x:v>
      </x:c>
      <x:c r="V394" s="4" t="str">
        <x:v>tldraw/tldraw</x:v>
      </x:c>
    </x:row>
    <x:row r="395" ht="44" customHeight="1">
      <x:c r="A395" s="4" t="n">
        <x:v>390</x:v>
      </x:c>
      <x:c r="B395" s="4" t="str">
        <x:v>tobi/qmd</x:v>
      </x:c>
      <x:c r="C395" s="4" t="n">
        <x:v>5</x:v>
      </x:c>
      <x:c r="D395" s="4" t="str">
        <x:v>数据库、存储与检索</x:v>
      </x:c>
      <x:c r="E395" s="4" t="str">
        <x:v>本地证据分类</x:v>
      </x:c>
      <x:c r="F395" s="4" t="n">
        <x:v>1</x:v>
      </x:c>
      <x:c r="G395" s="4" t="str">
        <x:v>软件项目</x:v>
      </x:c>
      <x:c r="H395" s="4" t="str">
        <x:v>数据服务</x:v>
      </x:c>
      <x:c r="I395" s="4" t="str">
        <x:v>数据库、存储与中间件</x:v>
      </x:c>
      <x:c r="J395" s="4" t="str">
        <x:v>JavaScript/TypeScript</x:v>
      </x:c>
      <x:c r="K395" s="4" t="str">
        <x:v>未获取</x:v>
      </x:c>
      <x:c r="L395" s="4" t="str">
        <x:v>未记录</x:v>
      </x:c>
      <x:c r="M395" s="4" t="n">
        <x:v>14</x:v>
      </x:c>
      <x:c r="N395" s="4" t="n">
        <x:v>14</x:v>
      </x:c>
      <x:c r="O395" s="4" t="n">
        <x:v>6</x:v>
      </x:c>
      <x:c r="P395" s="9" t="n">
        <x:v>0.42857142857142855</x:v>
      </x:c>
      <x:c r="Q395" s="4"/>
      <x:c r="R395" s="4" t="str">
        <x:v>项目名称/框架的明确功能定位；未逐一在线核验README</x:v>
      </x:c>
      <x:c r="S395" s="4" t="str">
        <x:v>GitHub月榜24-26</x:v>
      </x:c>
      <x:c r="T395" s="4" t="n">
        <x:v>393</x:v>
      </x:c>
      <x:c r="U395" s="4" t="str">
        <x:v>https://github.com/tobi/qmd</x:v>
      </x:c>
      <x:c r="V395" s="4" t="str">
        <x:v>tobi/qmd</x:v>
      </x:c>
    </x:row>
    <x:row r="396" ht="44" customHeight="1">
      <x:c r="A396" s="4" t="n">
        <x:v>391</x:v>
      </x:c>
      <x:c r="B396" s="4" t="str">
        <x:v>toeverything/AFFiNE</x:v>
      </x:c>
      <x:c r="C396" s="4" t="n">
        <x:v>10</x:v>
      </x:c>
      <x:c r="D396" s="4" t="str">
        <x:v>文档与办公数据处理</x:v>
      </x:c>
      <x:c r="E396" s="4" t="str">
        <x:v>本地证据分类</x:v>
      </x:c>
      <x:c r="F396" s="4" t="n">
        <x:v>1</x:v>
      </x:c>
      <x:c r="G396" s="4" t="str">
        <x:v>软件项目</x:v>
      </x:c>
      <x:c r="H396" s="4" t="str">
        <x:v>文档/知识内容</x:v>
      </x:c>
      <x:c r="I396" s="4" t="str">
        <x:v>桌面、TUI 与跨端应用</x:v>
      </x:c>
      <x:c r="J396" s="4" t="str">
        <x:v>JavaScript/TypeScript</x:v>
      </x:c>
      <x:c r="K396" s="4" t="str">
        <x:v>未获取</x:v>
      </x:c>
      <x:c r="L396" s="4" t="str">
        <x:v>未记录</x:v>
      </x:c>
      <x:c r="M396" s="4" t="n">
        <x:v>15</x:v>
      </x:c>
      <x:c r="N396" s="4" t="n">
        <x:v>15</x:v>
      </x:c>
      <x:c r="O396" s="4" t="n">
        <x:v>8</x:v>
      </x:c>
      <x:c r="P396" s="9" t="n">
        <x:v>0.5333333333333333</x:v>
      </x:c>
      <x:c r="Q396" s="4"/>
      <x:c r="R396" s="4" t="str">
        <x:v>项目名称/框架的明确功能定位；未逐一在线核验README</x:v>
      </x:c>
      <x:c r="S396" s="4" t="str">
        <x:v>GitHub月榜24-26</x:v>
      </x:c>
      <x:c r="T396" s="4" t="n">
        <x:v>394</x:v>
      </x:c>
      <x:c r="U396" s="4" t="str">
        <x:v>https://github.com/toeverything/AFFiNE</x:v>
      </x:c>
      <x:c r="V396" s="4" t="str">
        <x:v>toeverything/affine</x:v>
      </x:c>
    </x:row>
    <x:row r="397" ht="44" customHeight="1">
      <x:c r="A397" s="4" t="n">
        <x:v>392</x:v>
      </x:c>
      <x:c r="B397" s="4" t="str">
        <x:v>traefik/traefik</x:v>
      </x:c>
      <x:c r="C397" s="4" t="n">
        <x:v>3</x:v>
      </x:c>
      <x:c r="D397" s="4" t="str">
        <x:v>网络与通信协议</x:v>
      </x:c>
      <x:c r="E397" s="4" t="str">
        <x:v>本地证据分类</x:v>
      </x:c>
      <x:c r="F397" s="4" t="n">
        <x:v>1</x:v>
      </x:c>
      <x:c r="G397" s="4" t="str">
        <x:v>软件项目</x:v>
      </x:c>
      <x:c r="H397" s="4" t="str">
        <x:v>网络通信</x:v>
      </x:c>
      <x:c r="I397" s="4" t="str">
        <x:v>云原生、运维与安全</x:v>
      </x:c>
      <x:c r="J397" s="4" t="str">
        <x:v>Go</x:v>
      </x:c>
      <x:c r="K397" s="4" t="str">
        <x:v>未获取</x:v>
      </x:c>
      <x:c r="L397" s="4" t="str">
        <x:v>未记录</x:v>
      </x:c>
      <x:c r="M397" s="4" t="n">
        <x:v>401</x:v>
      </x:c>
      <x:c r="N397" s="4" t="n">
        <x:v>401</x:v>
      </x:c>
      <x:c r="O397" s="4" t="n">
        <x:v>0</x:v>
      </x:c>
      <x:c r="P397" s="9" t="n">
        <x:v>0</x:v>
      </x:c>
      <x:c r="Q397" s="4"/>
      <x:c r="R397" s="4" t="str">
        <x:v>项目名称/框架的明确功能定位；未逐一在线核验README</x:v>
      </x:c>
      <x:c r="S397" s="4" t="str">
        <x:v>GitHub月榜24-26</x:v>
      </x:c>
      <x:c r="T397" s="4" t="n">
        <x:v>395</x:v>
      </x:c>
      <x:c r="U397" s="4" t="str">
        <x:v>https://github.com/traefik/traefik</x:v>
      </x:c>
      <x:c r="V397" s="4" t="str">
        <x:v>traefik/traefik</x:v>
      </x:c>
    </x:row>
    <x:row r="398" ht="44" customHeight="1">
      <x:c r="A398" s="4" t="n">
        <x:v>393</x:v>
      </x:c>
      <x:c r="B398" s="4" t="str">
        <x:v>trufflesecurity/trufflehog</x:v>
      </x:c>
      <x:c r="C398" s="4" t="n">
        <x:v>4</x:v>
      </x:c>
      <x:c r="D398" s="4" t="str">
        <x:v>安全与身份认证</x:v>
      </x:c>
      <x:c r="E398" s="4" t="str">
        <x:v>本地证据分类</x:v>
      </x:c>
      <x:c r="F398" s="4" t="n">
        <x:v>1</x:v>
      </x:c>
      <x:c r="G398" s="4" t="str">
        <x:v>软件项目</x:v>
      </x:c>
      <x:c r="H398" s="4" t="str">
        <x:v>安全审计</x:v>
      </x:c>
      <x:c r="I398" s="4" t="str">
        <x:v>云原生、运维与安全</x:v>
      </x:c>
      <x:c r="J398" s="4" t="str">
        <x:v>Python</x:v>
      </x:c>
      <x:c r="K398" s="4" t="str">
        <x:v>未获取</x:v>
      </x:c>
      <x:c r="L398" s="4" t="str">
        <x:v>未记录</x:v>
      </x:c>
      <x:c r="M398" s="4" t="n">
        <x:v>4</x:v>
      </x:c>
      <x:c r="N398" s="4" t="n">
        <x:v>4</x:v>
      </x:c>
      <x:c r="O398" s="4" t="n">
        <x:v>2</x:v>
      </x:c>
      <x:c r="P398" s="9" t="n">
        <x:v>0.5</x:v>
      </x:c>
      <x:c r="Q398" s="4"/>
      <x:c r="R398" s="4" t="str">
        <x:v>项目名称/框架的明确功能定位；未逐一在线核验README</x:v>
      </x:c>
      <x:c r="S398" s="4" t="str">
        <x:v>GitHub月榜24-26</x:v>
      </x:c>
      <x:c r="T398" s="4" t="n">
        <x:v>396</x:v>
      </x:c>
      <x:c r="U398" s="4" t="str">
        <x:v>https://github.com/trufflesecurity/trufflehog</x:v>
      </x:c>
      <x:c r="V398" s="4" t="str">
        <x:v>trufflesecurity/trufflehog</x:v>
      </x:c>
    </x:row>
    <x:row r="399" ht="44" customHeight="1">
      <x:c r="A399" s="4" t="n">
        <x:v>394</x:v>
      </x:c>
      <x:c r="B399" s="4" t="str">
        <x:v>tw93/Mole</x:v>
      </x:c>
      <x:c r="C399" s="4" t="n">
        <x:v>2</x:v>
      </x:c>
      <x:c r="D399" s="4" t="str">
        <x:v>系统资源与原生互操作</x:v>
      </x:c>
      <x:c r="E399" s="4" t="str">
        <x:v>元数据已核验</x:v>
      </x:c>
      <x:c r="F399" s="4" t="n">
        <x:v>1</x:v>
      </x:c>
      <x:c r="G399" s="4" t="str">
        <x:v>软件项目</x:v>
      </x:c>
      <x:c r="H399" s="4" t="str">
        <x:v>原生/系统接口</x:v>
      </x:c>
      <x:c r="I399" s="4" t="str">
        <x:v>云原生、运维与安全</x:v>
      </x:c>
      <x:c r="J399" s="4" t="str">
        <x:v>Go</x:v>
      </x:c>
      <x:c r="K399" s="4" t="str">
        <x:v>Shell</x:v>
      </x:c>
      <x:c r="L399" s="4" t="str">
        <x:v>未记录</x:v>
      </x:c>
      <x:c r="M399" s="4" t="n">
        <x:v>31</x:v>
      </x:c>
      <x:c r="N399" s="4" t="n">
        <x:v>31</x:v>
      </x:c>
      <x:c r="O399" s="4" t="n">
        <x:v>0</x:v>
      </x:c>
      <x:c r="P399" s="9" t="n">
        <x:v>0</x:v>
      </x:c>
      <x:c r="Q399" s="4"/>
      <x:c r="R399" s="4" t="str">
        <x:v>项目定位与GitHub描述人工对照</x:v>
      </x:c>
      <x:c r="S399" s="4" t="str">
        <x:v>GitHub月榜24-26</x:v>
      </x:c>
      <x:c r="T399" s="4" t="n">
        <x:v>397</x:v>
      </x:c>
      <x:c r="U399" s="4" t="str">
        <x:v>https://github.com/tw93/Mole</x:v>
      </x:c>
      <x:c r="V399" s="4" t="str">
        <x:v>tw93/mole</x:v>
      </x:c>
    </x:row>
    <x:row r="400" ht="44" customHeight="1">
      <x:c r="A400" s="4" t="n">
        <x:v>395</x:v>
      </x:c>
      <x:c r="B400" s="4" t="str">
        <x:v>tw93/Pake</x:v>
      </x:c>
      <x:c r="C400" s="4" t="n">
        <x:v>7</x:v>
      </x:c>
      <x:c r="D400" s="4" t="str">
        <x:v>用户界面与交互</x:v>
      </x:c>
      <x:c r="E400" s="4" t="str">
        <x:v>本地证据分类</x:v>
      </x:c>
      <x:c r="F400" s="4" t="n">
        <x:v>1</x:v>
      </x:c>
      <x:c r="G400" s="4" t="str">
        <x:v>软件项目</x:v>
      </x:c>
      <x:c r="H400" s="4" t="str">
        <x:v>交互/跨端框架</x:v>
      </x:c>
      <x:c r="I400" s="4" t="str">
        <x:v>桌面、TUI 与跨端应用</x:v>
      </x:c>
      <x:c r="J400" s="4" t="str">
        <x:v>JavaScript/TypeScript</x:v>
      </x:c>
      <x:c r="K400" s="4" t="str">
        <x:v>未获取</x:v>
      </x:c>
      <x:c r="L400" s="4" t="str">
        <x:v>未记录</x:v>
      </x:c>
      <x:c r="M400" s="4" t="n">
        <x:v>15</x:v>
      </x:c>
      <x:c r="N400" s="4" t="n">
        <x:v>15</x:v>
      </x:c>
      <x:c r="O400" s="4" t="n">
        <x:v>13</x:v>
      </x:c>
      <x:c r="P400" s="9" t="n">
        <x:v>0.8666666666666667</x:v>
      </x:c>
      <x:c r="Q400" s="4"/>
      <x:c r="R400" s="4" t="str">
        <x:v>项目名称/框架的明确功能定位；未逐一在线核验README</x:v>
      </x:c>
      <x:c r="S400" s="4" t="str">
        <x:v>GitHub月榜24-26</x:v>
      </x:c>
      <x:c r="T400" s="4" t="n">
        <x:v>398</x:v>
      </x:c>
      <x:c r="U400" s="4" t="str">
        <x:v>https://github.com/tw93/Pake</x:v>
      </x:c>
      <x:c r="V400" s="4" t="str">
        <x:v>tw93/pake</x:v>
      </x:c>
    </x:row>
    <x:row r="401" ht="44" customHeight="1">
      <x:c r="A401" s="4" t="n">
        <x:v>396</x:v>
      </x:c>
      <x:c r="B401" s="4" t="str">
        <x:v>typst/typst</x:v>
      </x:c>
      <x:c r="C401" s="4" t="n">
        <x:v>10</x:v>
      </x:c>
      <x:c r="D401" s="4" t="str">
        <x:v>文档与办公数据处理</x:v>
      </x:c>
      <x:c r="E401" s="4" t="str">
        <x:v>本地证据分类</x:v>
      </x:c>
      <x:c r="F401" s="4" t="n">
        <x:v>1</x:v>
      </x:c>
      <x:c r="G401" s="4" t="str">
        <x:v>软件项目</x:v>
      </x:c>
      <x:c r="H401" s="4" t="str">
        <x:v>文档解析/排版</x:v>
      </x:c>
      <x:c r="I401" s="4" t="str">
        <x:v>当前页面未列入</x:v>
      </x:c>
      <x:c r="J401" s="4" t="str">
        <x:v>未记录</x:v>
      </x:c>
      <x:c r="K401" s="4" t="str">
        <x:v>未获取</x:v>
      </x:c>
      <x:c r="L401" s="4" t="str">
        <x:v>未记录</x:v>
      </x:c>
      <x:c r="M401" s="4" t="n">
        <x:v>0</x:v>
      </x:c>
      <x:c r="N401" s="4"/>
      <x:c r="O401" s="4"/>
      <x:c r="P401" s="9"/>
      <x:c r="Q401" s="4"/>
      <x:c r="R401" s="4" t="str">
        <x:v>项目名称/框架的明确功能定位；未逐一在线核验README</x:v>
      </x:c>
      <x:c r="S401" s="4" t="str">
        <x:v>GitHub月榜24-26</x:v>
      </x:c>
      <x:c r="T401" s="4" t="n">
        <x:v>399</x:v>
      </x:c>
      <x:c r="U401" s="4" t="str">
        <x:v>https://github.com/typst/typst</x:v>
      </x:c>
      <x:c r="V401" s="4" t="str">
        <x:v>typst/typst</x:v>
      </x:c>
    </x:row>
    <x:row r="402" ht="44" customHeight="1">
      <x:c r="A402" s="4" t="n">
        <x:v>397</x:v>
      </x:c>
      <x:c r="B402" s="4" t="str">
        <x:v>ultralytics/ultralytics</x:v>
      </x:c>
      <x:c r="C402" s="4" t="n">
        <x:v>11</x:v>
      </x:c>
      <x:c r="D402" s="4" t="str">
        <x:v>AI模型与机器学习</x:v>
      </x:c>
      <x:c r="E402" s="4" t="str">
        <x:v>本地证据分类</x:v>
      </x:c>
      <x:c r="F402" s="4" t="n">
        <x:v>1</x:v>
      </x:c>
      <x:c r="G402" s="4" t="str">
        <x:v>软件项目</x:v>
      </x:c>
      <x:c r="H402" s="4" t="str">
        <x:v>AI模型/推理</x:v>
      </x:c>
      <x:c r="I402" s="4" t="str">
        <x:v>数据分析与科学计算</x:v>
      </x:c>
      <x:c r="J402" s="4" t="str">
        <x:v>Python</x:v>
      </x:c>
      <x:c r="K402" s="4" t="str">
        <x:v>未获取</x:v>
      </x:c>
      <x:c r="L402" s="4" t="str">
        <x:v>未记录</x:v>
      </x:c>
      <x:c r="M402" s="4" t="n">
        <x:v>15</x:v>
      </x:c>
      <x:c r="N402" s="4" t="n">
        <x:v>15</x:v>
      </x:c>
      <x:c r="O402" s="4" t="n">
        <x:v>13</x:v>
      </x:c>
      <x:c r="P402" s="9" t="n">
        <x:v>0.8666666666666667</x:v>
      </x:c>
      <x:c r="Q402" s="4"/>
      <x:c r="R402" s="4" t="str">
        <x:v>项目名称/框架的明确功能定位；未逐一在线核验README</x:v>
      </x:c>
      <x:c r="S402" s="4" t="str">
        <x:v>GitHub月榜24-26</x:v>
      </x:c>
      <x:c r="T402" s="4" t="n">
        <x:v>400</x:v>
      </x:c>
      <x:c r="U402" s="4" t="str">
        <x:v>https://github.com/ultralytics/ultralytics</x:v>
      </x:c>
      <x:c r="V402" s="4" t="str">
        <x:v>ultralytics/ultralytics</x:v>
      </x:c>
    </x:row>
    <x:row r="403" ht="44" customHeight="1">
      <x:c r="A403" s="4" t="n">
        <x:v>398</x:v>
      </x:c>
      <x:c r="B403" s="4" t="str">
        <x:v>unclecode/crawl4ai</x:v>
      </x:c>
      <x:c r="C403" s="4" t="n">
        <x:v>12</x:v>
      </x:c>
      <x:c r="D403" s="4" t="str">
        <x:v>办公软件与桌面操作自动化</x:v>
      </x:c>
      <x:c r="E403" s="4" t="str">
        <x:v>元数据已核验</x:v>
      </x:c>
      <x:c r="F403" s="4" t="n">
        <x:v>1</x:v>
      </x:c>
      <x:c r="G403" s="4" t="str">
        <x:v>软件项目</x:v>
      </x:c>
      <x:c r="H403" s="4" t="str">
        <x:v>办公/浏览器执行</x:v>
      </x:c>
      <x:c r="I403" s="4" t="str">
        <x:v>浏览器自动化与数据采集</x:v>
      </x:c>
      <x:c r="J403" s="4" t="str">
        <x:v>Python</x:v>
      </x:c>
      <x:c r="K403" s="4" t="str">
        <x:v>Python</x:v>
      </x:c>
      <x:c r="L403" s="4" t="str">
        <x:v>未记录</x:v>
      </x:c>
      <x:c r="M403" s="4" t="n">
        <x:v>33</x:v>
      </x:c>
      <x:c r="N403" s="4" t="n">
        <x:v>33</x:v>
      </x:c>
      <x:c r="O403" s="4" t="n">
        <x:v>28</x:v>
      </x:c>
      <x:c r="P403" s="9" t="n">
        <x:v>0.8484848484848485</x:v>
      </x:c>
      <x:c r="Q403" s="4"/>
      <x:c r="R403" s="4" t="str">
        <x:v>项目定位与GitHub描述人工对照</x:v>
      </x:c>
      <x:c r="S403" s="4" t="str">
        <x:v>GitHub月榜24-26</x:v>
      </x:c>
      <x:c r="T403" s="4" t="n">
        <x:v>401</x:v>
      </x:c>
      <x:c r="U403" s="4" t="str">
        <x:v>https://github.com/unclecode/crawl4ai</x:v>
      </x:c>
      <x:c r="V403" s="4" t="str">
        <x:v>unclecode/crawl4ai</x:v>
      </x:c>
    </x:row>
    <x:row r="404" ht="44" customHeight="1">
      <x:c r="A404" s="4" t="n">
        <x:v>399</x:v>
      </x:c>
      <x:c r="B404" s="4" t="str">
        <x:v>upscayl/upscayl</x:v>
      </x:c>
      <x:c r="C404" s="4" t="n">
        <x:v>11</x:v>
      </x:c>
      <x:c r="D404" s="4" t="str">
        <x:v>AI模型与机器学习</x:v>
      </x:c>
      <x:c r="E404" s="4" t="str">
        <x:v>本地证据分类</x:v>
      </x:c>
      <x:c r="F404" s="4" t="n">
        <x:v>1</x:v>
      </x:c>
      <x:c r="G404" s="4" t="str">
        <x:v>软件项目</x:v>
      </x:c>
      <x:c r="H404" s="4" t="str">
        <x:v>模型/OCR/多模态</x:v>
      </x:c>
      <x:c r="I404" s="4" t="str">
        <x:v>桌面、TUI 与跨端应用</x:v>
      </x:c>
      <x:c r="J404" s="4" t="str">
        <x:v>JavaScript/TypeScript</x:v>
      </x:c>
      <x:c r="K404" s="4" t="str">
        <x:v>未获取</x:v>
      </x:c>
      <x:c r="L404" s="4" t="str">
        <x:v>未记录</x:v>
      </x:c>
      <x:c r="M404" s="4" t="n">
        <x:v>31</x:v>
      </x:c>
      <x:c r="N404" s="4" t="n">
        <x:v>31</x:v>
      </x:c>
      <x:c r="O404" s="4" t="n">
        <x:v>25</x:v>
      </x:c>
      <x:c r="P404" s="9" t="n">
        <x:v>0.8064516129032258</x:v>
      </x:c>
      <x:c r="Q404" s="4"/>
      <x:c r="R404" s="4" t="str">
        <x:v>项目名称/框架的明确功能定位；未逐一在线核验README</x:v>
      </x:c>
      <x:c r="S404" s="4" t="str">
        <x:v>GitHub月榜24-26</x:v>
      </x:c>
      <x:c r="T404" s="4" t="n">
        <x:v>402</x:v>
      </x:c>
      <x:c r="U404" s="4" t="str">
        <x:v>https://github.com/upscayl/upscayl</x:v>
      </x:c>
      <x:c r="V404" s="4" t="str">
        <x:v>upscayl/upscayl</x:v>
      </x:c>
    </x:row>
    <x:row r="405" ht="44" customHeight="1">
      <x:c r="A405" s="4" t="n">
        <x:v>400</x:v>
      </x:c>
      <x:c r="B405" s="4" t="str">
        <x:v>usebruno/bruno</x:v>
      </x:c>
      <x:c r="C405" s="4" t="n">
        <x:v>14</x:v>
      </x:c>
      <x:c r="D405" s="4" t="str">
        <x:v>软件构建、开发与测试</x:v>
      </x:c>
      <x:c r="E405" s="4" t="str">
        <x:v>本地证据分类</x:v>
      </x:c>
      <x:c r="F405" s="4" t="n">
        <x:v>1</x:v>
      </x:c>
      <x:c r="G405" s="4" t="str">
        <x:v>软件项目</x:v>
      </x:c>
      <x:c r="H405" s="4" t="str">
        <x:v>软件工程；编程Agent需额外挂13标签</x:v>
      </x:c>
      <x:c r="I405" s="4" t="str">
        <x:v>开发工具与工程效率</x:v>
      </x:c>
      <x:c r="J405" s="4" t="str">
        <x:v>JavaScript/TypeScript</x:v>
      </x:c>
      <x:c r="K405" s="4" t="str">
        <x:v>未获取</x:v>
      </x:c>
      <x:c r="L405" s="4" t="str">
        <x:v>未记录</x:v>
      </x:c>
      <x:c r="M405" s="4" t="n">
        <x:v>10</x:v>
      </x:c>
      <x:c r="N405" s="4" t="n">
        <x:v>10</x:v>
      </x:c>
      <x:c r="O405" s="4" t="n">
        <x:v>10</x:v>
      </x:c>
      <x:c r="P405" s="9" t="n">
        <x:v>1</x:v>
      </x:c>
      <x:c r="Q405" s="4"/>
      <x:c r="R405" s="4" t="str">
        <x:v>项目名称/框架的明确功能定位；未逐一在线核验README</x:v>
      </x:c>
      <x:c r="S405" s="4" t="str">
        <x:v>GitHub月榜24-26</x:v>
      </x:c>
      <x:c r="T405" s="4" t="n">
        <x:v>403</x:v>
      </x:c>
      <x:c r="U405" s="4" t="str">
        <x:v>https://github.com/usebruno/bruno</x:v>
      </x:c>
      <x:c r="V405" s="4" t="str">
        <x:v>usebruno/bruno</x:v>
      </x:c>
    </x:row>
    <x:row r="406" ht="44" customHeight="1">
      <x:c r="A406" s="4" t="n">
        <x:v>401</x:v>
      </x:c>
      <x:c r="B406" s="4" t="str">
        <x:v>usememos/memos</x:v>
      </x:c>
      <x:c r="C406" s="4" t="n">
        <x:v>10</x:v>
      </x:c>
      <x:c r="D406" s="4" t="str">
        <x:v>文档与办公数据处理</x:v>
      </x:c>
      <x:c r="E406" s="4" t="str">
        <x:v>本地证据分类</x:v>
      </x:c>
      <x:c r="F406" s="4" t="n">
        <x:v>1</x:v>
      </x:c>
      <x:c r="G406" s="4" t="str">
        <x:v>软件项目</x:v>
      </x:c>
      <x:c r="H406" s="4" t="str">
        <x:v>文档/知识内容</x:v>
      </x:c>
      <x:c r="I406" s="4" t="str">
        <x:v>云原生、运维与安全</x:v>
      </x:c>
      <x:c r="J406" s="4" t="str">
        <x:v>Go</x:v>
      </x:c>
      <x:c r="K406" s="4" t="str">
        <x:v>未获取</x:v>
      </x:c>
      <x:c r="L406" s="4" t="str">
        <x:v>未记录</x:v>
      </x:c>
      <x:c r="M406" s="4" t="n">
        <x:v>146</x:v>
      </x:c>
      <x:c r="N406" s="4" t="n">
        <x:v>146</x:v>
      </x:c>
      <x:c r="O406" s="4" t="n">
        <x:v>0</x:v>
      </x:c>
      <x:c r="P406" s="9" t="n">
        <x:v>0</x:v>
      </x:c>
      <x:c r="Q406" s="4"/>
      <x:c r="R406" s="4" t="str">
        <x:v>项目名称/框架的明确功能定位；未逐一在线核验README</x:v>
      </x:c>
      <x:c r="S406" s="4" t="str">
        <x:v>GitHub月榜24-26</x:v>
      </x:c>
      <x:c r="T406" s="4" t="n">
        <x:v>404</x:v>
      </x:c>
      <x:c r="U406" s="4" t="str">
        <x:v>https://github.com/usememos/memos</x:v>
      </x:c>
      <x:c r="V406" s="4" t="str">
        <x:v>usememos/memos</x:v>
      </x:c>
    </x:row>
    <x:row r="407" ht="44" customHeight="1">
      <x:c r="A407" s="4" t="n">
        <x:v>402</x:v>
      </x:c>
      <x:c r="B407" s="4" t="str">
        <x:v>usestrix/strix</x:v>
      </x:c>
      <x:c r="C407" s="4" t="n">
        <x:v>4</x:v>
      </x:c>
      <x:c r="D407" s="4" t="str">
        <x:v>安全与身份认证</x:v>
      </x:c>
      <x:c r="E407" s="4" t="str">
        <x:v>本地证据分类</x:v>
      </x:c>
      <x:c r="F407" s="4" t="n">
        <x:v>1</x:v>
      </x:c>
      <x:c r="G407" s="4" t="str">
        <x:v>软件项目</x:v>
      </x:c>
      <x:c r="H407" s="4" t="str">
        <x:v>安全审计</x:v>
      </x:c>
      <x:c r="I407" s="4" t="str">
        <x:v>Agent 与 AI 应用</x:v>
      </x:c>
      <x:c r="J407" s="4" t="str">
        <x:v>Python</x:v>
      </x:c>
      <x:c r="K407" s="4" t="str">
        <x:v>未获取</x:v>
      </x:c>
      <x:c r="L407" s="4" t="str">
        <x:v>未记录</x:v>
      </x:c>
      <x:c r="M407" s="4" t="n">
        <x:v>15</x:v>
      </x:c>
      <x:c r="N407" s="4" t="n">
        <x:v>15</x:v>
      </x:c>
      <x:c r="O407" s="4" t="n">
        <x:v>12</x:v>
      </x:c>
      <x:c r="P407" s="9" t="n">
        <x:v>0.8</x:v>
      </x:c>
      <x:c r="Q407" s="4"/>
      <x:c r="R407" s="4" t="str">
        <x:v>项目名称/框架的明确功能定位；未逐一在线核验README</x:v>
      </x:c>
      <x:c r="S407" s="4" t="str">
        <x:v>GitHub月榜24-26</x:v>
      </x:c>
      <x:c r="T407" s="4" t="n">
        <x:v>405</x:v>
      </x:c>
      <x:c r="U407" s="4" t="str">
        <x:v>https://github.com/usestrix/strix</x:v>
      </x:c>
      <x:c r="V407" s="4" t="str">
        <x:v>usestrix/strix</x:v>
      </x:c>
    </x:row>
    <x:row r="408" ht="44" customHeight="1">
      <x:c r="A408" s="4" t="n">
        <x:v>403</x:v>
      </x:c>
      <x:c r="B408" s="4" t="str">
        <x:v>vinta/awesome-python</x:v>
      </x:c>
      <x:c r="C408" s="4"/>
      <x:c r="D408" s="4" t="str">
        <x:v>未归入15类</x:v>
      </x:c>
      <x:c r="E408" s="4" t="str">
        <x:v>范围排除</x:v>
      </x:c>
      <x:c r="F408" s="4" t="n">
        <x:v>0</x:v>
      </x:c>
      <x:c r="G408" s="4" t="str">
        <x:v>教程/资源/技能资产</x:v>
      </x:c>
      <x:c r="H408" s="4" t="str">
        <x:v>知识/数据资产</x:v>
      </x:c>
      <x:c r="I408" s="4" t="str">
        <x:v>当前页面未列入</x:v>
      </x:c>
      <x:c r="J408" s="4" t="str">
        <x:v>未记录</x:v>
      </x:c>
      <x:c r="K408" s="4" t="str">
        <x:v>Python</x:v>
      </x:c>
      <x:c r="L408" s="4" t="str">
        <x:v>未记录</x:v>
      </x:c>
      <x:c r="M408" s="4" t="n">
        <x:v>0</x:v>
      </x:c>
      <x:c r="N408" s="4"/>
      <x:c r="O408" s="4"/>
      <x:c r="P408" s="9"/>
      <x:c r="Q408" s="4"/>
      <x:c r="R408" s="4" t="str">
        <x:v>按项目名称与已获取定位识别为知识、数据或技能资源；非独立软件能力证据</x:v>
      </x:c>
      <x:c r="S408" s="4" t="str">
        <x:v>GitHub月榜24-26</x:v>
      </x:c>
      <x:c r="T408" s="4" t="n">
        <x:v>406</x:v>
      </x:c>
      <x:c r="U408" s="4" t="str">
        <x:v>https://github.com/vinta/awesome-python</x:v>
      </x:c>
      <x:c r="V408" s="4" t="str">
        <x:v>vinta/awesome-python</x:v>
      </x:c>
    </x:row>
    <x:row r="409" ht="44" customHeight="1">
      <x:c r="A409" s="4" t="n">
        <x:v>404</x:v>
      </x:c>
      <x:c r="B409" s="4" t="str">
        <x:v>virattt/ai-hedge-fund</x:v>
      </x:c>
      <x:c r="C409" s="4" t="n">
        <x:v>13</x:v>
      </x:c>
      <x:c r="D409" s="4" t="str">
        <x:v>Agent编排与工具执行</x:v>
      </x:c>
      <x:c r="E409" s="4" t="str">
        <x:v>本地证据分类</x:v>
      </x:c>
      <x:c r="F409" s="4" t="n">
        <x:v>1</x:v>
      </x:c>
      <x:c r="G409" s="4" t="str">
        <x:v>软件项目</x:v>
      </x:c>
      <x:c r="H409" s="4" t="str">
        <x:v>Agent/模型与工具</x:v>
      </x:c>
      <x:c r="I409" s="4" t="str">
        <x:v>Agent 与 AI 应用</x:v>
      </x:c>
      <x:c r="J409" s="4" t="str">
        <x:v>Python</x:v>
      </x:c>
      <x:c r="K409" s="4" t="str">
        <x:v>未获取</x:v>
      </x:c>
      <x:c r="L409" s="4" t="str">
        <x:v>未记录</x:v>
      </x:c>
      <x:c r="M409" s="4" t="n">
        <x:v>24</x:v>
      </x:c>
      <x:c r="N409" s="4" t="n">
        <x:v>24</x:v>
      </x:c>
      <x:c r="O409" s="4" t="n">
        <x:v>10</x:v>
      </x:c>
      <x:c r="P409" s="9" t="n">
        <x:v>0.4166666666666667</x:v>
      </x:c>
      <x:c r="Q409" s="4"/>
      <x:c r="R409" s="4" t="str">
        <x:v>项目名称/框架的明确功能定位；未逐一在线核验README</x:v>
      </x:c>
      <x:c r="S409" s="4" t="str">
        <x:v>GitHub月榜24-26</x:v>
      </x:c>
      <x:c r="T409" s="4" t="n">
        <x:v>407</x:v>
      </x:c>
      <x:c r="U409" s="4" t="str">
        <x:v>https://github.com/virattt/ai-hedge-fund</x:v>
      </x:c>
      <x:c r="V409" s="4" t="str">
        <x:v>virattt/ai-hedge-fund</x:v>
      </x:c>
    </x:row>
    <x:row r="410" ht="44" customHeight="1">
      <x:c r="A410" s="4" t="n">
        <x:v>405</x:v>
      </x:c>
      <x:c r="B410" s="4" t="str">
        <x:v>virattt/dexter</x:v>
      </x:c>
      <x:c r="C410" s="4" t="n">
        <x:v>13</x:v>
      </x:c>
      <x:c r="D410" s="4" t="str">
        <x:v>Agent编排与工具执行</x:v>
      </x:c>
      <x:c r="E410" s="4" t="str">
        <x:v>本地证据分类</x:v>
      </x:c>
      <x:c r="F410" s="4" t="n">
        <x:v>1</x:v>
      </x:c>
      <x:c r="G410" s="4" t="str">
        <x:v>软件项目</x:v>
      </x:c>
      <x:c r="H410" s="4" t="str">
        <x:v>Agent/模型与工具</x:v>
      </x:c>
      <x:c r="I410" s="4" t="str">
        <x:v>Agent 与 AI 应用</x:v>
      </x:c>
      <x:c r="J410" s="4" t="str">
        <x:v>JavaScript/TypeScript</x:v>
      </x:c>
      <x:c r="K410" s="4" t="str">
        <x:v>未获取</x:v>
      </x:c>
      <x:c r="L410" s="4" t="str">
        <x:v>未记录</x:v>
      </x:c>
      <x:c r="M410" s="4" t="n">
        <x:v>24</x:v>
      </x:c>
      <x:c r="N410" s="4" t="n">
        <x:v>24</x:v>
      </x:c>
      <x:c r="O410" s="4" t="n">
        <x:v>21</x:v>
      </x:c>
      <x:c r="P410" s="9" t="n">
        <x:v>0.875</x:v>
      </x:c>
      <x:c r="Q410" s="4"/>
      <x:c r="R410" s="4" t="str">
        <x:v>项目名称/框架的明确功能定位；未逐一在线核验README</x:v>
      </x:c>
      <x:c r="S410" s="4" t="str">
        <x:v>GitHub月榜24-26</x:v>
      </x:c>
      <x:c r="T410" s="4" t="n">
        <x:v>408</x:v>
      </x:c>
      <x:c r="U410" s="4" t="str">
        <x:v>https://github.com/virattt/dexter</x:v>
      </x:c>
      <x:c r="V410" s="4" t="str">
        <x:v>virattt/dexter</x:v>
      </x:c>
    </x:row>
    <x:row r="411" ht="44" customHeight="1">
      <x:c r="A411" s="4" t="n">
        <x:v>406</x:v>
      </x:c>
      <x:c r="B411" s="4" t="str">
        <x:v>virgiliojr94/book-to-skill</x:v>
      </x:c>
      <x:c r="C411" s="4"/>
      <x:c r="D411" s="4" t="str">
        <x:v>未归入15类</x:v>
      </x:c>
      <x:c r="E411" s="4" t="str">
        <x:v>范围排除</x:v>
      </x:c>
      <x:c r="F411" s="4" t="n">
        <x:v>0</x:v>
      </x:c>
      <x:c r="G411" s="4" t="str">
        <x:v>教程/资源/技能资产</x:v>
      </x:c>
      <x:c r="H411" s="4" t="str">
        <x:v>Agent资源（不等于运行时）</x:v>
      </x:c>
      <x:c r="I411" s="4" t="str">
        <x:v>当前页面未列入</x:v>
      </x:c>
      <x:c r="J411" s="4" t="str">
        <x:v>未记录</x:v>
      </x:c>
      <x:c r="K411" s="4" t="str">
        <x:v>未获取</x:v>
      </x:c>
      <x:c r="L411" s="4" t="str">
        <x:v>未记录</x:v>
      </x:c>
      <x:c r="M411" s="4" t="n">
        <x:v>0</x:v>
      </x:c>
      <x:c r="N411" s="4"/>
      <x:c r="O411" s="4"/>
      <x:c r="P411" s="9"/>
      <x:c r="Q411" s="4"/>
      <x:c r="R411" s="4" t="str">
        <x:v>按项目名称与已获取定位识别为知识、数据或技能资源；非独立软件能力证据</x:v>
      </x:c>
      <x:c r="S411" s="4" t="str">
        <x:v>GitHub月榜24-26</x:v>
      </x:c>
      <x:c r="T411" s="4" t="n">
        <x:v>409</x:v>
      </x:c>
      <x:c r="U411" s="4" t="str">
        <x:v>https://github.com/virgiliojr94/book-to-skill</x:v>
      </x:c>
      <x:c r="V411" s="4" t="str">
        <x:v>virgiliojr94/book-to-skill</x:v>
      </x:c>
    </x:row>
    <x:row r="412" ht="44" customHeight="1">
      <x:c r="A412" s="4" t="n">
        <x:v>407</x:v>
      </x:c>
      <x:c r="B412" s="4" t="str">
        <x:v>voideditor/void</x:v>
      </x:c>
      <x:c r="C412" s="4" t="n">
        <x:v>14</x:v>
      </x:c>
      <x:c r="D412" s="4" t="str">
        <x:v>软件构建、开发与测试</x:v>
      </x:c>
      <x:c r="E412" s="4" t="str">
        <x:v>本地证据分类</x:v>
      </x:c>
      <x:c r="F412" s="4" t="n">
        <x:v>1</x:v>
      </x:c>
      <x:c r="G412" s="4" t="str">
        <x:v>软件项目</x:v>
      </x:c>
      <x:c r="H412" s="4" t="str">
        <x:v>软件工程；编程Agent需额外挂13标签</x:v>
      </x:c>
      <x:c r="I412" s="4" t="str">
        <x:v>开发工具与工程效率</x:v>
      </x:c>
      <x:c r="J412" s="4" t="str">
        <x:v>JavaScript/TypeScript</x:v>
      </x:c>
      <x:c r="K412" s="4" t="str">
        <x:v>未获取</x:v>
      </x:c>
      <x:c r="L412" s="4" t="str">
        <x:v>未记录</x:v>
      </x:c>
      <x:c r="M412" s="4" t="n">
        <x:v>128</x:v>
      </x:c>
      <x:c r="N412" s="4" t="n">
        <x:v>128</x:v>
      </x:c>
      <x:c r="O412" s="4" t="n">
        <x:v>100</x:v>
      </x:c>
      <x:c r="P412" s="9" t="n">
        <x:v>0.78125</x:v>
      </x:c>
      <x:c r="Q412" s="4"/>
      <x:c r="R412" s="4" t="str">
        <x:v>项目名称/框架的明确功能定位；未逐一在线核验README</x:v>
      </x:c>
      <x:c r="S412" s="4" t="str">
        <x:v>GitHub月榜24-26</x:v>
      </x:c>
      <x:c r="T412" s="4" t="n">
        <x:v>410</x:v>
      </x:c>
      <x:c r="U412" s="4" t="str">
        <x:v>https://github.com/voideditor/void</x:v>
      </x:c>
      <x:c r="V412" s="4" t="str">
        <x:v>voideditor/void</x:v>
      </x:c>
    </x:row>
    <x:row r="413" ht="44" customHeight="1">
      <x:c r="A413" s="4" t="n">
        <x:v>408</x:v>
      </x:c>
      <x:c r="B413" s="4" t="str">
        <x:v>volcengine/verl</x:v>
      </x:c>
      <x:c r="C413" s="4" t="n">
        <x:v>11</x:v>
      </x:c>
      <x:c r="D413" s="4" t="str">
        <x:v>AI模型与机器学习</x:v>
      </x:c>
      <x:c r="E413" s="4" t="str">
        <x:v>本地证据分类</x:v>
      </x:c>
      <x:c r="F413" s="4" t="n">
        <x:v>1</x:v>
      </x:c>
      <x:c r="G413" s="4" t="str">
        <x:v>软件项目</x:v>
      </x:c>
      <x:c r="H413" s="4" t="str">
        <x:v>AI模型/推理</x:v>
      </x:c>
      <x:c r="I413" s="4" t="str">
        <x:v>Agent 与 AI 应用</x:v>
      </x:c>
      <x:c r="J413" s="4" t="str">
        <x:v>Python</x:v>
      </x:c>
      <x:c r="K413" s="4" t="str">
        <x:v>未获取</x:v>
      </x:c>
      <x:c r="L413" s="4" t="str">
        <x:v>未记录</x:v>
      </x:c>
      <x:c r="M413" s="4" t="n">
        <x:v>8</x:v>
      </x:c>
      <x:c r="N413" s="4" t="n">
        <x:v>8</x:v>
      </x:c>
      <x:c r="O413" s="4" t="n">
        <x:v>3</x:v>
      </x:c>
      <x:c r="P413" s="9" t="n">
        <x:v>0.375</x:v>
      </x:c>
      <x:c r="Q413" s="4"/>
      <x:c r="R413" s="4" t="str">
        <x:v>项目名称/框架的明确功能定位；未逐一在线核验README</x:v>
      </x:c>
      <x:c r="S413" s="4" t="str">
        <x:v>GitHub月榜24-26</x:v>
      </x:c>
      <x:c r="T413" s="4" t="n">
        <x:v>411</x:v>
      </x:c>
      <x:c r="U413" s="4" t="str">
        <x:v>https://github.com/volcengine/verl</x:v>
      </x:c>
      <x:c r="V413" s="4" t="str">
        <x:v>volcengine/verl</x:v>
      </x:c>
    </x:row>
    <x:row r="414" ht="44" customHeight="1">
      <x:c r="A414" s="4" t="n">
        <x:v>409</x:v>
      </x:c>
      <x:c r="B414" s="4" t="str">
        <x:v>vxcontrol/pentagi</x:v>
      </x:c>
      <x:c r="C414" s="4" t="n">
        <x:v>4</x:v>
      </x:c>
      <x:c r="D414" s="4" t="str">
        <x:v>安全与身份认证</x:v>
      </x:c>
      <x:c r="E414" s="4" t="str">
        <x:v>本地证据分类</x:v>
      </x:c>
      <x:c r="F414" s="4" t="n">
        <x:v>1</x:v>
      </x:c>
      <x:c r="G414" s="4" t="str">
        <x:v>软件项目</x:v>
      </x:c>
      <x:c r="H414" s="4" t="str">
        <x:v>安全审计</x:v>
      </x:c>
      <x:c r="I414" s="4" t="str">
        <x:v>当前页面未列入</x:v>
      </x:c>
      <x:c r="J414" s="4" t="str">
        <x:v>未记录</x:v>
      </x:c>
      <x:c r="K414" s="4" t="str">
        <x:v>未获取</x:v>
      </x:c>
      <x:c r="L414" s="4" t="str">
        <x:v>未记录</x:v>
      </x:c>
      <x:c r="M414" s="4" t="n">
        <x:v>0</x:v>
      </x:c>
      <x:c r="N414" s="4"/>
      <x:c r="O414" s="4"/>
      <x:c r="P414" s="9"/>
      <x:c r="Q414" s="4"/>
      <x:c r="R414" s="4" t="str">
        <x:v>项目名称/框架的明确功能定位；未逐一在线核验README</x:v>
      </x:c>
      <x:c r="S414" s="4" t="str">
        <x:v>GitHub月榜24-26</x:v>
      </x:c>
      <x:c r="T414" s="4" t="n">
        <x:v>412</x:v>
      </x:c>
      <x:c r="U414" s="4" t="str">
        <x:v>https://github.com/vxcontrol/pentagi</x:v>
      </x:c>
      <x:c r="V414" s="4" t="str">
        <x:v>vxcontrol/pentagi</x:v>
      </x:c>
    </x:row>
    <x:row r="415" ht="44" customHeight="1">
      <x:c r="A415" s="4" t="n">
        <x:v>410</x:v>
      </x:c>
      <x:c r="B415" s="4" t="str">
        <x:v>web-infra-dev/oxc</x:v>
      </x:c>
      <x:c r="C415" s="4" t="n">
        <x:v>14</x:v>
      </x:c>
      <x:c r="D415" s="4" t="str">
        <x:v>软件构建、开发与测试</x:v>
      </x:c>
      <x:c r="E415" s="4" t="str">
        <x:v>本地证据分类</x:v>
      </x:c>
      <x:c r="F415" s="4" t="n">
        <x:v>1</x:v>
      </x:c>
      <x:c r="G415" s="4" t="str">
        <x:v>软件项目</x:v>
      </x:c>
      <x:c r="H415" s="4" t="str">
        <x:v>软件工程；编程Agent需额外挂13标签</x:v>
      </x:c>
      <x:c r="I415" s="4" t="str">
        <x:v>云原生、运维与安全</x:v>
      </x:c>
      <x:c r="J415" s="4" t="str">
        <x:v>JavaScript/TypeScript</x:v>
      </x:c>
      <x:c r="K415" s="4" t="str">
        <x:v>未获取</x:v>
      </x:c>
      <x:c r="L415" s="4" t="str">
        <x:v>未记录</x:v>
      </x:c>
      <x:c r="M415" s="4" t="n">
        <x:v>4</x:v>
      </x:c>
      <x:c r="N415" s="4" t="n">
        <x:v>4</x:v>
      </x:c>
      <x:c r="O415" s="4" t="n">
        <x:v>1</x:v>
      </x:c>
      <x:c r="P415" s="9" t="n">
        <x:v>0.25</x:v>
      </x:c>
      <x:c r="Q415" s="4"/>
      <x:c r="R415" s="4" t="str">
        <x:v>项目名称/框架的明确功能定位；未逐一在线核验README</x:v>
      </x:c>
      <x:c r="S415" s="4" t="str">
        <x:v>GitHub月榜24-26</x:v>
      </x:c>
      <x:c r="T415" s="4" t="n">
        <x:v>413</x:v>
      </x:c>
      <x:c r="U415" s="4" t="str">
        <x:v>https://github.com/web-infra-dev/oxc</x:v>
      </x:c>
      <x:c r="V415" s="4" t="str">
        <x:v>web-infra-dev/oxc</x:v>
      </x:c>
    </x:row>
    <x:row r="416" ht="44" customHeight="1">
      <x:c r="A416" s="4" t="n">
        <x:v>411</x:v>
      </x:c>
      <x:c r="B416" s="4" t="str">
        <x:v>wg-easy/wg-easy</x:v>
      </x:c>
      <x:c r="C416" s="4" t="n">
        <x:v>3</x:v>
      </x:c>
      <x:c r="D416" s="4" t="str">
        <x:v>网络与通信协议</x:v>
      </x:c>
      <x:c r="E416" s="4" t="str">
        <x:v>本地证据分类</x:v>
      </x:c>
      <x:c r="F416" s="4" t="n">
        <x:v>1</x:v>
      </x:c>
      <x:c r="G416" s="4" t="str">
        <x:v>软件项目</x:v>
      </x:c>
      <x:c r="H416" s="4" t="str">
        <x:v>网络通信</x:v>
      </x:c>
      <x:c r="I416" s="4" t="str">
        <x:v>当前页面未列入</x:v>
      </x:c>
      <x:c r="J416" s="4" t="str">
        <x:v>未记录</x:v>
      </x:c>
      <x:c r="K416" s="4" t="str">
        <x:v>未获取</x:v>
      </x:c>
      <x:c r="L416" s="4" t="str">
        <x:v>未记录</x:v>
      </x:c>
      <x:c r="M416" s="4" t="n">
        <x:v>0</x:v>
      </x:c>
      <x:c r="N416" s="4"/>
      <x:c r="O416" s="4"/>
      <x:c r="P416" s="9"/>
      <x:c r="Q416" s="4"/>
      <x:c r="R416" s="4" t="str">
        <x:v>项目名称/框架的明确功能定位；未逐一在线核验README</x:v>
      </x:c>
      <x:c r="S416" s="4" t="str">
        <x:v>GitHub月榜24-26</x:v>
      </x:c>
      <x:c r="T416" s="4" t="n">
        <x:v>414</x:v>
      </x:c>
      <x:c r="U416" s="4" t="str">
        <x:v>https://github.com/wg-easy/wg-easy</x:v>
      </x:c>
      <x:c r="V416" s="4" t="str">
        <x:v>wg-easy/wg-easy</x:v>
      </x:c>
    </x:row>
    <x:row r="417" ht="44" customHeight="1">
      <x:c r="A417" s="4" t="n">
        <x:v>412</x:v>
      </x:c>
      <x:c r="B417" s="4" t="str">
        <x:v>windmill-labs/windmill</x:v>
      </x:c>
      <x:c r="C417" s="4" t="n">
        <x:v>6</x:v>
      </x:c>
      <x:c r="D417" s="4" t="str">
        <x:v>后端服务与业务流程</x:v>
      </x:c>
      <x:c r="E417" s="4" t="str">
        <x:v>本地证据分类</x:v>
      </x:c>
      <x:c r="F417" s="4" t="n">
        <x:v>1</x:v>
      </x:c>
      <x:c r="G417" s="4" t="str">
        <x:v>软件项目</x:v>
      </x:c>
      <x:c r="H417" s="4" t="str">
        <x:v>业务应用/确定性工作流</x:v>
      </x:c>
      <x:c r="I417" s="4" t="str">
        <x:v>当前页面未列入</x:v>
      </x:c>
      <x:c r="J417" s="4" t="str">
        <x:v>未记录</x:v>
      </x:c>
      <x:c r="K417" s="4" t="str">
        <x:v>未获取</x:v>
      </x:c>
      <x:c r="L417" s="4" t="str">
        <x:v>未记录</x:v>
      </x:c>
      <x:c r="M417" s="4" t="n">
        <x:v>0</x:v>
      </x:c>
      <x:c r="N417" s="4"/>
      <x:c r="O417" s="4"/>
      <x:c r="P417" s="9"/>
      <x:c r="Q417" s="4"/>
      <x:c r="R417" s="4" t="str">
        <x:v>项目名称/框架的明确功能定位；未逐一在线核验README</x:v>
      </x:c>
      <x:c r="S417" s="4" t="str">
        <x:v>GitHub月榜24-26</x:v>
      </x:c>
      <x:c r="T417" s="4" t="n">
        <x:v>415</x:v>
      </x:c>
      <x:c r="U417" s="4" t="str">
        <x:v>https://github.com/windmill-labs/windmill</x:v>
      </x:c>
      <x:c r="V417" s="4" t="str">
        <x:v>windmill-labs/windmill</x:v>
      </x:c>
    </x:row>
    <x:row r="418" ht="44" customHeight="1">
      <x:c r="A418" s="4" t="n">
        <x:v>413</x:v>
      </x:c>
      <x:c r="B418" s="4" t="str">
        <x:v>wshobson/agents</x:v>
      </x:c>
      <x:c r="C418" s="4"/>
      <x:c r="D418" s="4" t="str">
        <x:v>未归入15类</x:v>
      </x:c>
      <x:c r="E418" s="4" t="str">
        <x:v>范围排除</x:v>
      </x:c>
      <x:c r="F418" s="4" t="n">
        <x:v>0</x:v>
      </x:c>
      <x:c r="G418" s="4" t="str">
        <x:v>教程/资源/技能资产</x:v>
      </x:c>
      <x:c r="H418" s="4" t="str">
        <x:v>Agent资源（不等于运行时）</x:v>
      </x:c>
      <x:c r="I418" s="4" t="str">
        <x:v>当前页面未列入</x:v>
      </x:c>
      <x:c r="J418" s="4" t="str">
        <x:v>未记录</x:v>
      </x:c>
      <x:c r="K418" s="4" t="str">
        <x:v>未获取</x:v>
      </x:c>
      <x:c r="L418" s="4" t="str">
        <x:v>未记录</x:v>
      </x:c>
      <x:c r="M418" s="4" t="n">
        <x:v>0</x:v>
      </x:c>
      <x:c r="N418" s="4"/>
      <x:c r="O418" s="4"/>
      <x:c r="P418" s="9"/>
      <x:c r="Q418" s="4"/>
      <x:c r="R418" s="4" t="str">
        <x:v>按项目名称与已获取定位识别为知识、数据或技能资源；非独立软件能力证据</x:v>
      </x:c>
      <x:c r="S418" s="4" t="str">
        <x:v>GitHub月榜24-26</x:v>
      </x:c>
      <x:c r="T418" s="4" t="n">
        <x:v>416</x:v>
      </x:c>
      <x:c r="U418" s="4" t="str">
        <x:v>https://github.com/wshobson/agents</x:v>
      </x:c>
      <x:c r="V418" s="4" t="str">
        <x:v>wshobson/agents</x:v>
      </x:c>
    </x:row>
    <x:row r="419" ht="44" customHeight="1">
      <x:c r="A419" s="4" t="n">
        <x:v>414</x:v>
      </x:c>
      <x:c r="B419" s="4" t="str">
        <x:v>xai-org/grok-1</x:v>
      </x:c>
      <x:c r="C419" s="4" t="n">
        <x:v>11</x:v>
      </x:c>
      <x:c r="D419" s="4" t="str">
        <x:v>AI模型与机器学习</x:v>
      </x:c>
      <x:c r="E419" s="4" t="str">
        <x:v>本地证据分类</x:v>
      </x:c>
      <x:c r="F419" s="4" t="n">
        <x:v>1</x:v>
      </x:c>
      <x:c r="G419" s="4" t="str">
        <x:v>软件项目</x:v>
      </x:c>
      <x:c r="H419" s="4" t="str">
        <x:v>AI模型/推理</x:v>
      </x:c>
      <x:c r="I419" s="4" t="str">
        <x:v>当前页面未列入</x:v>
      </x:c>
      <x:c r="J419" s="4" t="str">
        <x:v>未记录</x:v>
      </x:c>
      <x:c r="K419" s="4" t="str">
        <x:v>未获取</x:v>
      </x:c>
      <x:c r="L419" s="4" t="str">
        <x:v>未记录</x:v>
      </x:c>
      <x:c r="M419" s="4" t="n">
        <x:v>0</x:v>
      </x:c>
      <x:c r="N419" s="4"/>
      <x:c r="O419" s="4"/>
      <x:c r="P419" s="9"/>
      <x:c r="Q419" s="4"/>
      <x:c r="R419" s="4" t="str">
        <x:v>项目名称/框架的明确功能定位；未逐一在线核验README</x:v>
      </x:c>
      <x:c r="S419" s="4" t="str">
        <x:v>GitHub月榜24-26</x:v>
      </x:c>
      <x:c r="T419" s="4" t="n">
        <x:v>417</x:v>
      </x:c>
      <x:c r="U419" s="4" t="str">
        <x:v>https://github.com/xai-org/grok-1</x:v>
      </x:c>
      <x:c r="V419" s="4" t="str">
        <x:v>xai-org/grok-1</x:v>
      </x:c>
    </x:row>
    <x:row r="420" ht="44" customHeight="1">
      <x:c r="A420" s="4" t="n">
        <x:v>415</x:v>
      </x:c>
      <x:c r="B420" s="4" t="str">
        <x:v>xai-org/grok-build</x:v>
      </x:c>
      <x:c r="C420" s="4" t="n">
        <x:v>14</x:v>
      </x:c>
      <x:c r="D420" s="4" t="str">
        <x:v>软件构建、开发与测试</x:v>
      </x:c>
      <x:c r="E420" s="4" t="str">
        <x:v>本地证据分类</x:v>
      </x:c>
      <x:c r="F420" s="4" t="n">
        <x:v>1</x:v>
      </x:c>
      <x:c r="G420" s="4" t="str">
        <x:v>软件项目</x:v>
      </x:c>
      <x:c r="H420" s="4" t="str">
        <x:v>软件工程/开发工具</x:v>
      </x:c>
      <x:c r="I420" s="4" t="str">
        <x:v>当前页面未列入</x:v>
      </x:c>
      <x:c r="J420" s="4" t="str">
        <x:v>未记录</x:v>
      </x:c>
      <x:c r="K420" s="4" t="str">
        <x:v>未获取</x:v>
      </x:c>
      <x:c r="L420" s="4" t="str">
        <x:v>未记录</x:v>
      </x:c>
      <x:c r="M420" s="4" t="n">
        <x:v>0</x:v>
      </x:c>
      <x:c r="N420" s="4"/>
      <x:c r="O420" s="4"/>
      <x:c r="P420" s="9"/>
      <x:c r="Q420" s="4"/>
      <x:c r="R420" s="4" t="str">
        <x:v>项目名称/框架的明确功能定位；未逐一在线核验README</x:v>
      </x:c>
      <x:c r="S420" s="4" t="str">
        <x:v>GitHub月榜24-26</x:v>
      </x:c>
      <x:c r="T420" s="4" t="n">
        <x:v>418</x:v>
      </x:c>
      <x:c r="U420" s="4" t="str">
        <x:v>https://github.com/xai-org/grok-build</x:v>
      </x:c>
      <x:c r="V420" s="4" t="str">
        <x:v>xai-org/grok-build</x:v>
      </x:c>
    </x:row>
    <x:row r="421" ht="44" customHeight="1">
      <x:c r="A421" s="4" t="n">
        <x:v>416</x:v>
      </x:c>
      <x:c r="B421" s="4" t="str">
        <x:v>xaoyaoo/PyWxDump</x:v>
      </x:c>
      <x:c r="C421" s="4"/>
      <x:c r="D421" s="4" t="str">
        <x:v>未归入15类</x:v>
      </x:c>
      <x:c r="E421" s="4" t="str">
        <x:v>信息不足</x:v>
      </x:c>
      <x:c r="F421" s="4" t="n">
        <x:v>1</x:v>
      </x:c>
      <x:c r="G421" s="4" t="str">
        <x:v>待确认项目</x:v>
      </x:c>
      <x:c r="H421" s="4" t="str"/>
      <x:c r="I421" s="4" t="str">
        <x:v>当前页面未列入</x:v>
      </x:c>
      <x:c r="J421" s="4" t="str">
        <x:v>未记录</x:v>
      </x:c>
      <x:c r="K421" s="4" t="str">
        <x:v>未获取</x:v>
      </x:c>
      <x:c r="L421" s="4" t="str">
        <x:v>未记录</x:v>
      </x:c>
      <x:c r="M421" s="4" t="n">
        <x:v>0</x:v>
      </x:c>
      <x:c r="N421" s="4"/>
      <x:c r="O421" s="4"/>
      <x:c r="P421" s="9"/>
      <x:c r="Q421" s="4"/>
      <x:c r="R421" s="4" t="str">
        <x:v>缺少明确功能描述，不按依赖或语言强行归类</x:v>
      </x:c>
      <x:c r="S421" s="4" t="str">
        <x:v>GitHub月榜24-26</x:v>
      </x:c>
      <x:c r="T421" s="4" t="n">
        <x:v>419</x:v>
      </x:c>
      <x:c r="U421" s="4" t="str">
        <x:v>https://github.com/xaoyaoo/PyWxDump</x:v>
      </x:c>
      <x:c r="V421" s="4" t="str">
        <x:v>xaoyaoo/pywxdump</x:v>
      </x:c>
    </x:row>
    <x:row r="422" ht="44" customHeight="1">
      <x:c r="A422" s="4" t="n">
        <x:v>417</x:v>
      </x:c>
      <x:c r="B422" s="4" t="str">
        <x:v>xbtlin/ai-berkshire</x:v>
      </x:c>
      <x:c r="C422" s="4" t="n">
        <x:v>13</x:v>
      </x:c>
      <x:c r="D422" s="4" t="str">
        <x:v>Agent编排与工具执行</x:v>
      </x:c>
      <x:c r="E422" s="4" t="str">
        <x:v>本地证据分类</x:v>
      </x:c>
      <x:c r="F422" s="4" t="n">
        <x:v>1</x:v>
      </x:c>
      <x:c r="G422" s="4" t="str">
        <x:v>软件项目</x:v>
      </x:c>
      <x:c r="H422" s="4" t="str">
        <x:v>Agent/模型与工具</x:v>
      </x:c>
      <x:c r="I422" s="4" t="str">
        <x:v>当前页面未列入</x:v>
      </x:c>
      <x:c r="J422" s="4" t="str">
        <x:v>未记录</x:v>
      </x:c>
      <x:c r="K422" s="4" t="str">
        <x:v>未获取</x:v>
      </x:c>
      <x:c r="L422" s="4" t="str">
        <x:v>未记录</x:v>
      </x:c>
      <x:c r="M422" s="4" t="n">
        <x:v>0</x:v>
      </x:c>
      <x:c r="N422" s="4"/>
      <x:c r="O422" s="4"/>
      <x:c r="P422" s="9"/>
      <x:c r="Q422" s="4"/>
      <x:c r="R422" s="4" t="str">
        <x:v>项目名称/框架的明确功能定位；未逐一在线核验README</x:v>
      </x:c>
      <x:c r="S422" s="4" t="str">
        <x:v>GitHub月榜24-26</x:v>
      </x:c>
      <x:c r="T422" s="4" t="n">
        <x:v>420</x:v>
      </x:c>
      <x:c r="U422" s="4" t="str">
        <x:v>https://github.com/xbtlin/ai-berkshire</x:v>
      </x:c>
      <x:c r="V422" s="4" t="str">
        <x:v>xbtlin/ai-berkshire</x:v>
      </x:c>
    </x:row>
    <x:row r="423" ht="44" customHeight="1">
      <x:c r="A423" s="4" t="n">
        <x:v>418</x:v>
      </x:c>
      <x:c r="B423" s="4" t="str">
        <x:v>xifangczy/cat-catch</x:v>
      </x:c>
      <x:c r="C423" s="4" t="n">
        <x:v>9</x:v>
      </x:c>
      <x:c r="D423" s="4" t="str">
        <x:v>图形、多媒体与实时应用</x:v>
      </x:c>
      <x:c r="E423" s="4" t="str">
        <x:v>本地证据分类</x:v>
      </x:c>
      <x:c r="F423" s="4" t="n">
        <x:v>1</x:v>
      </x:c>
      <x:c r="G423" s="4" t="str">
        <x:v>软件项目</x:v>
      </x:c>
      <x:c r="H423" s="4" t="str">
        <x:v>媒体/图形</x:v>
      </x:c>
      <x:c r="I423" s="4" t="str">
        <x:v>当前页面未列入</x:v>
      </x:c>
      <x:c r="J423" s="4" t="str">
        <x:v>未记录</x:v>
      </x:c>
      <x:c r="K423" s="4" t="str">
        <x:v>未获取</x:v>
      </x:c>
      <x:c r="L423" s="4" t="str">
        <x:v>未记录</x:v>
      </x:c>
      <x:c r="M423" s="4" t="n">
        <x:v>0</x:v>
      </x:c>
      <x:c r="N423" s="4"/>
      <x:c r="O423" s="4"/>
      <x:c r="P423" s="9"/>
      <x:c r="Q423" s="4"/>
      <x:c r="R423" s="4" t="str">
        <x:v>项目名称/框架的明确功能定位；未逐一在线核验README</x:v>
      </x:c>
      <x:c r="S423" s="4" t="str">
        <x:v>GitHub月榜24-26</x:v>
      </x:c>
      <x:c r="T423" s="4" t="n">
        <x:v>421</x:v>
      </x:c>
      <x:c r="U423" s="4" t="str">
        <x:v>https://github.com/xifangczy/cat-catch</x:v>
      </x:c>
      <x:c r="V423" s="4" t="str">
        <x:v>xifangczy/cat-catch</x:v>
      </x:c>
    </x:row>
    <x:row r="424" ht="44" customHeight="1">
      <x:c r="A424" s="4" t="n">
        <x:v>419</x:v>
      </x:c>
      <x:c r="B424" s="4" t="str">
        <x:v>xpipe-io/xpipe</x:v>
      </x:c>
      <x:c r="C424" s="4" t="n">
        <x:v>15</x:v>
      </x:c>
      <x:c r="D424" s="4" t="str">
        <x:v>部署运维与可观测性</x:v>
      </x:c>
      <x:c r="E424" s="4" t="str">
        <x:v>本地证据分类</x:v>
      </x:c>
      <x:c r="F424" s="4" t="n">
        <x:v>1</x:v>
      </x:c>
      <x:c r="G424" s="4" t="str">
        <x:v>软件项目</x:v>
      </x:c>
      <x:c r="H424" s="4" t="str">
        <x:v>运维/可观测性</x:v>
      </x:c>
      <x:c r="I424" s="4" t="str">
        <x:v>当前页面未列入</x:v>
      </x:c>
      <x:c r="J424" s="4" t="str">
        <x:v>未记录</x:v>
      </x:c>
      <x:c r="K424" s="4" t="str">
        <x:v>未获取</x:v>
      </x:c>
      <x:c r="L424" s="4" t="str">
        <x:v>未记录</x:v>
      </x:c>
      <x:c r="M424" s="4" t="n">
        <x:v>0</x:v>
      </x:c>
      <x:c r="N424" s="4"/>
      <x:c r="O424" s="4"/>
      <x:c r="P424" s="9"/>
      <x:c r="Q424" s="4"/>
      <x:c r="R424" s="4" t="str">
        <x:v>项目名称/框架的明确功能定位；未逐一在线核验README</x:v>
      </x:c>
      <x:c r="S424" s="4" t="str">
        <x:v>GitHub月榜24-26</x:v>
      </x:c>
      <x:c r="T424" s="4" t="n">
        <x:v>422</x:v>
      </x:c>
      <x:c r="U424" s="4" t="str">
        <x:v>https://github.com/xpipe-io/xpipe</x:v>
      </x:c>
      <x:c r="V424" s="4" t="str">
        <x:v>xpipe-io/xpipe</x:v>
      </x:c>
    </x:row>
    <x:row r="425" ht="44" customHeight="1">
      <x:c r="A425" s="4" t="n">
        <x:v>420</x:v>
      </x:c>
      <x:c r="B425" s="4" t="str">
        <x:v>xyflow/xyflow</x:v>
      </x:c>
      <x:c r="C425" s="4" t="n">
        <x:v>7</x:v>
      </x:c>
      <x:c r="D425" s="4" t="str">
        <x:v>用户界面与交互</x:v>
      </x:c>
      <x:c r="E425" s="4" t="str">
        <x:v>本地证据分类</x:v>
      </x:c>
      <x:c r="F425" s="4" t="n">
        <x:v>1</x:v>
      </x:c>
      <x:c r="G425" s="4" t="str">
        <x:v>软件项目</x:v>
      </x:c>
      <x:c r="H425" s="4" t="str">
        <x:v>UI框架</x:v>
      </x:c>
      <x:c r="I425" s="4" t="str">
        <x:v>Web 与业务服务</x:v>
      </x:c>
      <x:c r="J425" s="4" t="str">
        <x:v>JavaScript/TypeScript</x:v>
      </x:c>
      <x:c r="K425" s="4" t="str">
        <x:v>未获取</x:v>
      </x:c>
      <x:c r="L425" s="4" t="str">
        <x:v>未记录</x:v>
      </x:c>
      <x:c r="M425" s="4" t="n">
        <x:v>3</x:v>
      </x:c>
      <x:c r="N425" s="4" t="n">
        <x:v>3</x:v>
      </x:c>
      <x:c r="O425" s="4" t="n">
        <x:v>3</x:v>
      </x:c>
      <x:c r="P425" s="9" t="n">
        <x:v>1</x:v>
      </x:c>
      <x:c r="Q425" s="4"/>
      <x:c r="R425" s="4" t="str">
        <x:v>项目名称/框架的明确功能定位；未逐一在线核验README</x:v>
      </x:c>
      <x:c r="S425" s="4" t="str">
        <x:v>GitHub月榜24-26</x:v>
      </x:c>
      <x:c r="T425" s="4" t="n">
        <x:v>423</x:v>
      </x:c>
      <x:c r="U425" s="4" t="str">
        <x:v>https://github.com/xyflow/xyflow</x:v>
      </x:c>
      <x:c r="V425" s="4" t="str">
        <x:v>xyflow/xyflow</x:v>
      </x:c>
    </x:row>
    <x:row r="426" ht="44" customHeight="1">
      <x:c r="A426" s="4" t="n">
        <x:v>421</x:v>
      </x:c>
      <x:c r="B426" s="4" t="str">
        <x:v>yamadashy/repomix</x:v>
      </x:c>
      <x:c r="C426" s="4" t="n">
        <x:v>14</x:v>
      </x:c>
      <x:c r="D426" s="4" t="str">
        <x:v>软件构建、开发与测试</x:v>
      </x:c>
      <x:c r="E426" s="4" t="str">
        <x:v>本地证据分类</x:v>
      </x:c>
      <x:c r="F426" s="4" t="n">
        <x:v>1</x:v>
      </x:c>
      <x:c r="G426" s="4" t="str">
        <x:v>软件项目</x:v>
      </x:c>
      <x:c r="H426" s="4" t="str">
        <x:v>软件工程；编程Agent需额外挂13标签</x:v>
      </x:c>
      <x:c r="I426" s="4" t="str">
        <x:v>Agent 与 AI 应用</x:v>
      </x:c>
      <x:c r="J426" s="4" t="str">
        <x:v>JavaScript/TypeScript</x:v>
      </x:c>
      <x:c r="K426" s="4" t="str">
        <x:v>未获取</x:v>
      </x:c>
      <x:c r="L426" s="4" t="str">
        <x:v>未记录</x:v>
      </x:c>
      <x:c r="M426" s="4" t="n">
        <x:v>33</x:v>
      </x:c>
      <x:c r="N426" s="4" t="n">
        <x:v>33</x:v>
      </x:c>
      <x:c r="O426" s="4" t="n">
        <x:v>27</x:v>
      </x:c>
      <x:c r="P426" s="9" t="n">
        <x:v>0.8181818181818182</x:v>
      </x:c>
      <x:c r="Q426" s="4"/>
      <x:c r="R426" s="4" t="str">
        <x:v>项目名称/框架的明确功能定位；未逐一在线核验README</x:v>
      </x:c>
      <x:c r="S426" s="4" t="str">
        <x:v>GitHub月榜24-26</x:v>
      </x:c>
      <x:c r="T426" s="4" t="n">
        <x:v>424</x:v>
      </x:c>
      <x:c r="U426" s="4" t="str">
        <x:v>https://github.com/yamadashy/repomix</x:v>
      </x:c>
      <x:c r="V426" s="4" t="str">
        <x:v>yamadashy/repomix</x:v>
      </x:c>
    </x:row>
    <x:row r="427" ht="44" customHeight="1">
      <x:c r="A427" s="4" t="n">
        <x:v>422</x:v>
      </x:c>
      <x:c r="B427" s="4" t="str">
        <x:v>yeongpin/cursor-free-vip</x:v>
      </x:c>
      <x:c r="C427" s="4" t="n">
        <x:v>14</x:v>
      </x:c>
      <x:c r="D427" s="4" t="str">
        <x:v>软件构建、开发与测试</x:v>
      </x:c>
      <x:c r="E427" s="4" t="str">
        <x:v>本地证据分类</x:v>
      </x:c>
      <x:c r="F427" s="4" t="n">
        <x:v>1</x:v>
      </x:c>
      <x:c r="G427" s="4" t="str">
        <x:v>软件项目</x:v>
      </x:c>
      <x:c r="H427" s="4" t="str">
        <x:v>软件工程；编程Agent需额外挂13标签</x:v>
      </x:c>
      <x:c r="I427" s="4" t="str">
        <x:v>当前页面未列入</x:v>
      </x:c>
      <x:c r="J427" s="4" t="str">
        <x:v>未记录</x:v>
      </x:c>
      <x:c r="K427" s="4" t="str">
        <x:v>未获取</x:v>
      </x:c>
      <x:c r="L427" s="4" t="str">
        <x:v>未记录</x:v>
      </x:c>
      <x:c r="M427" s="4" t="n">
        <x:v>0</x:v>
      </x:c>
      <x:c r="N427" s="4"/>
      <x:c r="O427" s="4"/>
      <x:c r="P427" s="9"/>
      <x:c r="Q427" s="4"/>
      <x:c r="R427" s="4" t="str">
        <x:v>项目名称/框架的明确功能定位；未逐一在线核验README</x:v>
      </x:c>
      <x:c r="S427" s="4" t="str">
        <x:v>GitHub月榜24-26</x:v>
      </x:c>
      <x:c r="T427" s="4" t="n">
        <x:v>425</x:v>
      </x:c>
      <x:c r="U427" s="4" t="str">
        <x:v>https://github.com/yeongpin/cursor-free-vip</x:v>
      </x:c>
      <x:c r="V427" s="4" t="str">
        <x:v>yeongpin/cursor-free-vip</x:v>
      </x:c>
    </x:row>
    <x:row r="428" ht="44" customHeight="1">
      <x:c r="A428" s="4" t="n">
        <x:v>423</x:v>
      </x:c>
      <x:c r="B428" s="4" t="str">
        <x:v>yetone/avante.nvim</x:v>
      </x:c>
      <x:c r="C428" s="4" t="n">
        <x:v>14</x:v>
      </x:c>
      <x:c r="D428" s="4" t="str">
        <x:v>软件构建、开发与测试</x:v>
      </x:c>
      <x:c r="E428" s="4" t="str">
        <x:v>本地证据分类</x:v>
      </x:c>
      <x:c r="F428" s="4" t="n">
        <x:v>1</x:v>
      </x:c>
      <x:c r="G428" s="4" t="str">
        <x:v>软件项目</x:v>
      </x:c>
      <x:c r="H428" s="4" t="str">
        <x:v>软件工程；编程Agent需额外挂13标签</x:v>
      </x:c>
      <x:c r="I428" s="4" t="str">
        <x:v>当前页面未列入</x:v>
      </x:c>
      <x:c r="J428" s="4" t="str">
        <x:v>未记录</x:v>
      </x:c>
      <x:c r="K428" s="4" t="str">
        <x:v>未获取</x:v>
      </x:c>
      <x:c r="L428" s="4" t="str">
        <x:v>未记录</x:v>
      </x:c>
      <x:c r="M428" s="4" t="n">
        <x:v>0</x:v>
      </x:c>
      <x:c r="N428" s="4"/>
      <x:c r="O428" s="4"/>
      <x:c r="P428" s="9"/>
      <x:c r="Q428" s="4"/>
      <x:c r="R428" s="4" t="str">
        <x:v>项目名称/框架的明确功能定位；未逐一在线核验README</x:v>
      </x:c>
      <x:c r="S428" s="4" t="str">
        <x:v>GitHub月榜24-26</x:v>
      </x:c>
      <x:c r="T428" s="4" t="n">
        <x:v>426</x:v>
      </x:c>
      <x:c r="U428" s="4" t="str">
        <x:v>https://github.com/yetone/avante.nvim</x:v>
      </x:c>
      <x:c r="V428" s="4" t="str">
        <x:v>yetone/avante.nvim</x:v>
      </x:c>
    </x:row>
    <x:row r="429" ht="44" customHeight="1">
      <x:c r="A429" s="4" t="n">
        <x:v>424</x:v>
      </x:c>
      <x:c r="B429" s="4" t="str">
        <x:v>yuzu-emu/yuzu</x:v>
      </x:c>
      <x:c r="C429" s="4" t="n">
        <x:v>9</x:v>
      </x:c>
      <x:c r="D429" s="4" t="str">
        <x:v>图形、多媒体与实时应用</x:v>
      </x:c>
      <x:c r="E429" s="4" t="str">
        <x:v>本地证据分类</x:v>
      </x:c>
      <x:c r="F429" s="4" t="n">
        <x:v>1</x:v>
      </x:c>
      <x:c r="G429" s="4" t="str">
        <x:v>软件项目</x:v>
      </x:c>
      <x:c r="H429" s="4" t="str">
        <x:v>媒体/图形</x:v>
      </x:c>
      <x:c r="I429" s="4" t="str">
        <x:v>当前页面未列入</x:v>
      </x:c>
      <x:c r="J429" s="4" t="str">
        <x:v>未记录</x:v>
      </x:c>
      <x:c r="K429" s="4" t="str">
        <x:v>未获取</x:v>
      </x:c>
      <x:c r="L429" s="4" t="str">
        <x:v>未记录</x:v>
      </x:c>
      <x:c r="M429" s="4" t="n">
        <x:v>0</x:v>
      </x:c>
      <x:c r="N429" s="4"/>
      <x:c r="O429" s="4"/>
      <x:c r="P429" s="9"/>
      <x:c r="Q429" s="4"/>
      <x:c r="R429" s="4" t="str">
        <x:v>项目名称/框架的明确功能定位；未逐一在线核验README</x:v>
      </x:c>
      <x:c r="S429" s="4" t="str">
        <x:v>GitHub月榜24-26</x:v>
      </x:c>
      <x:c r="T429" s="4" t="n">
        <x:v>427</x:v>
      </x:c>
      <x:c r="U429" s="4" t="str">
        <x:v>https://github.com/yuzu-emu/yuzu</x:v>
      </x:c>
      <x:c r="V429" s="4" t="str">
        <x:v>yuzu-emu/yuzu</x:v>
      </x:c>
    </x:row>
    <x:row r="430" ht="44" customHeight="1">
      <x:c r="A430" s="4" t="n">
        <x:v>425</x:v>
      </x:c>
      <x:c r="B430" s="4" t="str">
        <x:v>zen-browser/desktop</x:v>
      </x:c>
      <x:c r="C430" s="4"/>
      <x:c r="D430" s="4" t="str">
        <x:v>未归入15类</x:v>
      </x:c>
      <x:c r="E430" s="4" t="str">
        <x:v>信息不足</x:v>
      </x:c>
      <x:c r="F430" s="4" t="n">
        <x:v>1</x:v>
      </x:c>
      <x:c r="G430" s="4" t="str">
        <x:v>待确认项目</x:v>
      </x:c>
      <x:c r="H430" s="4" t="str"/>
      <x:c r="I430" s="4" t="str">
        <x:v>浏览器自动化与数据采集</x:v>
      </x:c>
      <x:c r="J430" s="4" t="str">
        <x:v>Python</x:v>
      </x:c>
      <x:c r="K430" s="4" t="str">
        <x:v>未获取</x:v>
      </x:c>
      <x:c r="L430" s="4" t="str">
        <x:v>未记录</x:v>
      </x:c>
      <x:c r="M430" s="4" t="n">
        <x:v>7</x:v>
      </x:c>
      <x:c r="N430" s="4" t="n">
        <x:v>7</x:v>
      </x:c>
      <x:c r="O430" s="4" t="n">
        <x:v>5</x:v>
      </x:c>
      <x:c r="P430" s="9" t="n">
        <x:v>0.7142857142857143</x:v>
      </x:c>
      <x:c r="Q430" s="4"/>
      <x:c r="R430" s="4" t="str">
        <x:v>缺少明确功能描述，不按依赖或语言强行归类</x:v>
      </x:c>
      <x:c r="S430" s="4" t="str">
        <x:v>GitHub月榜24-26</x:v>
      </x:c>
      <x:c r="T430" s="4" t="n">
        <x:v>428</x:v>
      </x:c>
      <x:c r="U430" s="4" t="str">
        <x:v>https://github.com/zen-browser/desktop</x:v>
      </x:c>
      <x:c r="V430" s="4" t="str">
        <x:v>zen-browser/desktop</x:v>
      </x:c>
    </x:row>
    <x:row r="431" ht="44" customHeight="1">
      <x:c r="A431" s="4" t="n">
        <x:v>426</x:v>
      </x:c>
      <x:c r="B431" s="4" t="str">
        <x:v>zhaoxuya520/reverse-skill</x:v>
      </x:c>
      <x:c r="C431" s="4"/>
      <x:c r="D431" s="4" t="str">
        <x:v>未归入15类</x:v>
      </x:c>
      <x:c r="E431" s="4" t="str">
        <x:v>范围排除</x:v>
      </x:c>
      <x:c r="F431" s="4" t="n">
        <x:v>0</x:v>
      </x:c>
      <x:c r="G431" s="4" t="str">
        <x:v>教程/资源/技能资产</x:v>
      </x:c>
      <x:c r="H431" s="4" t="str">
        <x:v>Agent资源（不等于运行时）</x:v>
      </x:c>
      <x:c r="I431" s="4" t="str">
        <x:v>当前页面未列入</x:v>
      </x:c>
      <x:c r="J431" s="4" t="str">
        <x:v>未记录</x:v>
      </x:c>
      <x:c r="K431" s="4" t="str">
        <x:v>未获取</x:v>
      </x:c>
      <x:c r="L431" s="4" t="str">
        <x:v>未记录</x:v>
      </x:c>
      <x:c r="M431" s="4" t="n">
        <x:v>0</x:v>
      </x:c>
      <x:c r="N431" s="4"/>
      <x:c r="O431" s="4"/>
      <x:c r="P431" s="9"/>
      <x:c r="Q431" s="4"/>
      <x:c r="R431" s="4" t="str">
        <x:v>按项目名称与已获取定位识别为知识、数据或技能资源；非独立软件能力证据</x:v>
      </x:c>
      <x:c r="S431" s="4" t="str">
        <x:v>GitHub月榜24-26</x:v>
      </x:c>
      <x:c r="T431" s="4" t="n">
        <x:v>429</x:v>
      </x:c>
      <x:c r="U431" s="4" t="str">
        <x:v>https://github.com/zhaoxuya520/reverse-skill</x:v>
      </x:c>
      <x:c r="V431" s="4" t="str">
        <x:v>zhaoxuya520/reverse-skill</x:v>
      </x:c>
    </x:row>
    <x:row r="432" ht="44" customHeight="1">
      <x:c r="A432" s="4" t="n">
        <x:v>427</x:v>
      </x:c>
      <x:c r="B432" s="4" t="str">
        <x:v>zhayujie/chatgpt-on-wechat</x:v>
      </x:c>
      <x:c r="C432" s="4" t="n">
        <x:v>13</x:v>
      </x:c>
      <x:c r="D432" s="4" t="str">
        <x:v>Agent编排与工具执行</x:v>
      </x:c>
      <x:c r="E432" s="4" t="str">
        <x:v>本地证据分类</x:v>
      </x:c>
      <x:c r="F432" s="4" t="n">
        <x:v>1</x:v>
      </x:c>
      <x:c r="G432" s="4" t="str">
        <x:v>软件项目</x:v>
      </x:c>
      <x:c r="H432" s="4" t="str">
        <x:v>Agent/模型与工具</x:v>
      </x:c>
      <x:c r="I432" s="4" t="str">
        <x:v>行业与其他应用</x:v>
      </x:c>
      <x:c r="J432" s="4" t="str">
        <x:v>Python</x:v>
      </x:c>
      <x:c r="K432" s="4" t="str">
        <x:v>未获取</x:v>
      </x:c>
      <x:c r="L432" s="4" t="str">
        <x:v>未记录</x:v>
      </x:c>
      <x:c r="M432" s="4" t="n">
        <x:v>2</x:v>
      </x:c>
      <x:c r="N432" s="4" t="n">
        <x:v>2</x:v>
      </x:c>
      <x:c r="O432" s="4" t="n">
        <x:v>2</x:v>
      </x:c>
      <x:c r="P432" s="9" t="n">
        <x:v>1</x:v>
      </x:c>
      <x:c r="Q432" s="4"/>
      <x:c r="R432" s="4" t="str">
        <x:v>项目名称/框架的明确功能定位；未逐一在线核验README</x:v>
      </x:c>
      <x:c r="S432" s="4" t="str">
        <x:v>GitHub月榜24-26</x:v>
      </x:c>
      <x:c r="T432" s="4" t="n">
        <x:v>430</x:v>
      </x:c>
      <x:c r="U432" s="4" t="str">
        <x:v>https://github.com/zhayujie/chatgpt-on-wechat</x:v>
      </x:c>
      <x:c r="V432" s="4" t="str">
        <x:v>zhayujie/chatgpt-on-wechat</x:v>
      </x:c>
    </x:row>
    <x:row r="433" ht="44" customHeight="1">
      <x:c r="A433" s="4" t="n">
        <x:v>428</x:v>
      </x:c>
      <x:c r="B433" s="4" t="str">
        <x:v>zricethezav/gitleaks</x:v>
      </x:c>
      <x:c r="C433" s="4" t="n">
        <x:v>4</x:v>
      </x:c>
      <x:c r="D433" s="4" t="str">
        <x:v>安全与身份认证</x:v>
      </x:c>
      <x:c r="E433" s="4" t="str">
        <x:v>本地证据分类</x:v>
      </x:c>
      <x:c r="F433" s="4" t="n">
        <x:v>1</x:v>
      </x:c>
      <x:c r="G433" s="4" t="str">
        <x:v>软件项目</x:v>
      </x:c>
      <x:c r="H433" s="4" t="str">
        <x:v>安全审计</x:v>
      </x:c>
      <x:c r="I433" s="4" t="str">
        <x:v>数据库、存储与中间件</x:v>
      </x:c>
      <x:c r="J433" s="4" t="str">
        <x:v>Go</x:v>
      </x:c>
      <x:c r="K433" s="4" t="str">
        <x:v>未获取</x:v>
      </x:c>
      <x:c r="L433" s="4" t="str">
        <x:v>未记录</x:v>
      </x:c>
      <x:c r="M433" s="4" t="n">
        <x:v>72</x:v>
      </x:c>
      <x:c r="N433" s="4" t="n">
        <x:v>72</x:v>
      </x:c>
      <x:c r="O433" s="4" t="n">
        <x:v>0</x:v>
      </x:c>
      <x:c r="P433" s="9" t="n">
        <x:v>0</x:v>
      </x:c>
      <x:c r="Q433" s="4"/>
      <x:c r="R433" s="4" t="str">
        <x:v>项目名称/框架的明确功能定位；未逐一在线核验README</x:v>
      </x:c>
      <x:c r="S433" s="4" t="str">
        <x:v>GitHub月榜24-26</x:v>
      </x:c>
      <x:c r="T433" s="4" t="n">
        <x:v>431</x:v>
      </x:c>
      <x:c r="U433" s="4" t="str">
        <x:v>https://github.com/zricethezav/gitleaks</x:v>
      </x:c>
      <x:c r="V433" s="4" t="str">
        <x:v>zricethezav/gitleaks</x:v>
      </x:c>
    </x:row>
    <x:row r="434" ht="44" customHeight="1">
      <x:c r="A434" s="4" t="n">
        <x:v>429</x:v>
      </x:c>
      <x:c r="B434" s="4" t="str">
        <x:v>Airtest</x:v>
      </x:c>
      <x:c r="C434" s="4" t="n">
        <x:v>14</x:v>
      </x:c>
      <x:c r="D434" s="4" t="str">
        <x:v>软件构建、开发与测试</x:v>
      </x:c>
      <x:c r="E434" s="4" t="str">
        <x:v>本地证据分类</x:v>
      </x:c>
      <x:c r="F434" s="4" t="n">
        <x:v>1</x:v>
      </x:c>
      <x:c r="G434" s="4" t="str">
        <x:v>软件项目</x:v>
      </x:c>
      <x:c r="H434" s="4" t="str">
        <x:v>软件工程；编程Agent需额外挂13标签</x:v>
      </x:c>
      <x:c r="I434" s="4" t="str">
        <x:v>多媒体与图形</x:v>
      </x:c>
      <x:c r="J434" s="4" t="str">
        <x:v>Python</x:v>
      </x:c>
      <x:c r="K434" s="4" t="str">
        <x:v>未获取</x:v>
      </x:c>
      <x:c r="L434" s="4" t="str">
        <x:v>—</x:v>
      </x:c>
      <x:c r="M434" s="4" t="n">
        <x:v>6</x:v>
      </x:c>
      <x:c r="N434" s="4" t="n">
        <x:v>6</x:v>
      </x:c>
      <x:c r="O434" s="4" t="n">
        <x:v>3</x:v>
      </x:c>
      <x:c r="P434" s="9" t="n">
        <x:v>0.5</x:v>
      </x:c>
      <x:c r="Q434" s="4"/>
      <x:c r="R434" s="4" t="str">
        <x:v>项目名称/框架的明确功能定位；未逐一在线核验README</x:v>
      </x:c>
      <x:c r="S434" s="4" t="str">
        <x:v>add项目yj88</x:v>
      </x:c>
      <x:c r="T434" s="4" t="n">
        <x:v>432</x:v>
      </x:c>
      <x:c r="U434" s="4" t="str">
        <x:v>https://github.com/AirtestProject/Airtest</x:v>
      </x:c>
      <x:c r="V434" s="4" t="str">
        <x:v>airtestproject/airtest</x:v>
      </x:c>
    </x:row>
    <x:row r="435" ht="44" customHeight="1">
      <x:c r="A435" s="4" t="n">
        <x:v>430</x:v>
      </x:c>
      <x:c r="B435" s="4" t="str">
        <x:v>BigData-In-Practice</x:v>
      </x:c>
      <x:c r="C435" s="4"/>
      <x:c r="D435" s="4" t="str">
        <x:v>未归入15类</x:v>
      </x:c>
      <x:c r="E435" s="4" t="str">
        <x:v>范围排除</x:v>
      </x:c>
      <x:c r="F435" s="4" t="n">
        <x:v>0</x:v>
      </x:c>
      <x:c r="G435" s="4" t="str">
        <x:v>教程/资源/技能资产</x:v>
      </x:c>
      <x:c r="H435" s="4" t="str">
        <x:v>知识/数据资产</x:v>
      </x:c>
      <x:c r="I435" s="4" t="str">
        <x:v>数据库、存储与中间件</x:v>
      </x:c>
      <x:c r="J435" s="4" t="str">
        <x:v>Java</x:v>
      </x:c>
      <x:c r="K435" s="4" t="str">
        <x:v>未获取</x:v>
      </x:c>
      <x:c r="L435" s="4" t="str">
        <x:v>Spark / HBase / Kafka</x:v>
      </x:c>
      <x:c r="M435" s="4" t="n">
        <x:v>9</x:v>
      </x:c>
      <x:c r="N435" s="4" t="n">
        <x:v>9</x:v>
      </x:c>
      <x:c r="O435" s="4" t="n">
        <x:v>1</x:v>
      </x:c>
      <x:c r="P435" s="9" t="n">
        <x:v>0.1111111111111111</x:v>
      </x:c>
      <x:c r="Q435" s="4"/>
      <x:c r="R435" s="4" t="str">
        <x:v>按项目名称与已获取定位识别为知识、数据或技能资源；非独立软件能力证据</x:v>
      </x:c>
      <x:c r="S435" s="4" t="str">
        <x:v>add项目yj88</x:v>
      </x:c>
      <x:c r="T435" s="4" t="n">
        <x:v>433</x:v>
      </x:c>
      <x:c r="U435" s="4" t="str">
        <x:v>https://github.com/whirlys/BigData-In-Practice</x:v>
      </x:c>
      <x:c r="V435" s="4" t="str">
        <x:v>whirlys/bigdata-in-practice</x:v>
      </x:c>
    </x:row>
    <x:row r="436" ht="44" customHeight="1">
      <x:c r="A436" s="4" t="n">
        <x:v>431</x:v>
      </x:c>
      <x:c r="B436" s="4" t="str">
        <x:v>ComfyUI</x:v>
      </x:c>
      <x:c r="C436" s="4" t="n">
        <x:v>11</x:v>
      </x:c>
      <x:c r="D436" s="4" t="str">
        <x:v>AI模型与机器学习</x:v>
      </x:c>
      <x:c r="E436" s="4" t="str">
        <x:v>本地证据分类</x:v>
      </x:c>
      <x:c r="F436" s="4" t="n">
        <x:v>0</x:v>
      </x:c>
      <x:c r="G436" s="4" t="str">
        <x:v>软件项目</x:v>
      </x:c>
      <x:c r="H436" s="4" t="str">
        <x:v>AI模型/推理</x:v>
      </x:c>
      <x:c r="I436" s="4" t="str">
        <x:v>Agent 与 AI 应用</x:v>
      </x:c>
      <x:c r="J436" s="4" t="str">
        <x:v>Python</x:v>
      </x:c>
      <x:c r="K436" s="4" t="str">
        <x:v>未获取</x:v>
      </x:c>
      <x:c r="L436" s="4" t="str">
        <x:v>PyTorch</x:v>
      </x:c>
      <x:c r="M436" s="4" t="n">
        <x:v>6</x:v>
      </x:c>
      <x:c r="N436" s="4" t="n">
        <x:v>6</x:v>
      </x:c>
      <x:c r="O436" s="4" t="n">
        <x:v>5</x:v>
      </x:c>
      <x:c r="P436" s="9" t="n">
        <x:v>0.8333333333333334</x:v>
      </x:c>
      <x:c r="Q436" s="4" t="n">
        <x:v>173</x:v>
      </x:c>
      <x:c r="R436" s="4" t="str">
        <x:v>项目名称/框架的明确功能定位；未逐一在线核验README</x:v>
      </x:c>
      <x:c r="S436" s="4" t="str">
        <x:v>add项目yj88</x:v>
      </x:c>
      <x:c r="T436" s="4" t="n">
        <x:v>434</x:v>
      </x:c>
      <x:c r="U436" s="4" t="str">
        <x:v>https://github.com/comfyanonymous/ComfyUI</x:v>
      </x:c>
      <x:c r="V436" s="4" t="str">
        <x:v>comfyanonymous/comfyui</x:v>
      </x:c>
    </x:row>
    <x:row r="437" ht="44" customHeight="1">
      <x:c r="A437" s="4" t="n">
        <x:v>432</x:v>
      </x:c>
      <x:c r="B437" s="4" t="str">
        <x:v>DeepFace</x:v>
      </x:c>
      <x:c r="C437" s="4" t="n">
        <x:v>11</x:v>
      </x:c>
      <x:c r="D437" s="4" t="str">
        <x:v>AI模型与机器学习</x:v>
      </x:c>
      <x:c r="E437" s="4" t="str">
        <x:v>本地证据分类</x:v>
      </x:c>
      <x:c r="F437" s="4" t="n">
        <x:v>1</x:v>
      </x:c>
      <x:c r="G437" s="4" t="str">
        <x:v>软件项目</x:v>
      </x:c>
      <x:c r="H437" s="4" t="str">
        <x:v>AI模型/推理</x:v>
      </x:c>
      <x:c r="I437" s="4" t="str">
        <x:v>Agent 与 AI 应用</x:v>
      </x:c>
      <x:c r="J437" s="4" t="str">
        <x:v>Python</x:v>
      </x:c>
      <x:c r="K437" s="4" t="str">
        <x:v>未获取</x:v>
      </x:c>
      <x:c r="L437" s="4" t="str">
        <x:v>TensorFlow / PyTorch</x:v>
      </x:c>
      <x:c r="M437" s="4" t="n">
        <x:v>7</x:v>
      </x:c>
      <x:c r="N437" s="4" t="n">
        <x:v>7</x:v>
      </x:c>
      <x:c r="O437" s="4" t="n">
        <x:v>3</x:v>
      </x:c>
      <x:c r="P437" s="9" t="n">
        <x:v>0.42857142857142855</x:v>
      </x:c>
      <x:c r="Q437" s="4"/>
      <x:c r="R437" s="4" t="str">
        <x:v>项目名称/框架的明确功能定位；未逐一在线核验README</x:v>
      </x:c>
      <x:c r="S437" s="4" t="str">
        <x:v>add项目yj88</x:v>
      </x:c>
      <x:c r="T437" s="4" t="n">
        <x:v>435</x:v>
      </x:c>
      <x:c r="U437" s="4" t="str">
        <x:v>https://github.com/serengil/deepface</x:v>
      </x:c>
      <x:c r="V437" s="4" t="str">
        <x:v>serengil/deepface</x:v>
      </x:c>
    </x:row>
    <x:row r="438" ht="44" customHeight="1">
      <x:c r="A438" s="4" t="n">
        <x:v>433</x:v>
      </x:c>
      <x:c r="B438" s="4" t="str">
        <x:v>DouBanSpider</x:v>
      </x:c>
      <x:c r="C438" s="4" t="n">
        <x:v>12</x:v>
      </x:c>
      <x:c r="D438" s="4" t="str">
        <x:v>办公软件与桌面操作自动化</x:v>
      </x:c>
      <x:c r="E438" s="4" t="str">
        <x:v>本地证据分类</x:v>
      </x:c>
      <x:c r="F438" s="4" t="n">
        <x:v>1</x:v>
      </x:c>
      <x:c r="G438" s="4" t="str">
        <x:v>软件项目</x:v>
      </x:c>
      <x:c r="H438" s="4" t="str">
        <x:v>办公/浏览器执行</x:v>
      </x:c>
      <x:c r="I438" s="4" t="str">
        <x:v>浏览器自动化与数据采集</x:v>
      </x:c>
      <x:c r="J438" s="4" t="str">
        <x:v>Python</x:v>
      </x:c>
      <x:c r="K438" s="4" t="str">
        <x:v>未获取</x:v>
      </x:c>
      <x:c r="L438" s="4" t="str">
        <x:v>Scrapy</x:v>
      </x:c>
      <x:c r="M438" s="4" t="n">
        <x:v>4</x:v>
      </x:c>
      <x:c r="N438" s="4" t="n">
        <x:v>4</x:v>
      </x:c>
      <x:c r="O438" s="4" t="n">
        <x:v>3</x:v>
      </x:c>
      <x:c r="P438" s="9" t="n">
        <x:v>0.75</x:v>
      </x:c>
      <x:c r="Q438" s="4"/>
      <x:c r="R438" s="4" t="str">
        <x:v>项目名称/框架的明确功能定位；未逐一在线核验README</x:v>
      </x:c>
      <x:c r="S438" s="4" t="str">
        <x:v>add项目yj88</x:v>
      </x:c>
      <x:c r="T438" s="4" t="n">
        <x:v>436</x:v>
      </x:c>
      <x:c r="U438" s="4" t="str">
        <x:v>https://github.com/lanbing510/DouBanSpider</x:v>
      </x:c>
      <x:c r="V438" s="4" t="str">
        <x:v>lanbing510/doubanspider</x:v>
      </x:c>
    </x:row>
    <x:row r="439" ht="44" customHeight="1">
      <x:c r="A439" s="4" t="n">
        <x:v>434</x:v>
      </x:c>
      <x:c r="B439" s="4" t="str">
        <x:v>EFAK (Kafka Eagle)</x:v>
      </x:c>
      <x:c r="C439" s="4" t="n">
        <x:v>6</x:v>
      </x:c>
      <x:c r="D439" s="4" t="str">
        <x:v>后端服务与业务流程</x:v>
      </x:c>
      <x:c r="E439" s="4" t="str">
        <x:v>本地证据分类</x:v>
      </x:c>
      <x:c r="F439" s="4" t="n">
        <x:v>1</x:v>
      </x:c>
      <x:c r="G439" s="4" t="str">
        <x:v>软件项目</x:v>
      </x:c>
      <x:c r="H439" s="4" t="str">
        <x:v>业务应用/确定性工作流</x:v>
      </x:c>
      <x:c r="I439" s="4" t="str">
        <x:v>数据库、存储与中间件</x:v>
      </x:c>
      <x:c r="J439" s="4" t="str">
        <x:v>Java</x:v>
      </x:c>
      <x:c r="K439" s="4" t="str">
        <x:v>未获取</x:v>
      </x:c>
      <x:c r="L439" s="4" t="str">
        <x:v>Spring Boot / Kafka</x:v>
      </x:c>
      <x:c r="M439" s="4" t="n">
        <x:v>8</x:v>
      </x:c>
      <x:c r="N439" s="4" t="n">
        <x:v>8</x:v>
      </x:c>
      <x:c r="O439" s="4" t="n">
        <x:v>2</x:v>
      </x:c>
      <x:c r="P439" s="9" t="n">
        <x:v>0.25</x:v>
      </x:c>
      <x:c r="Q439" s="4"/>
      <x:c r="R439" s="4" t="str">
        <x:v>项目名称/框架的明确功能定位；未逐一在线核验README</x:v>
      </x:c>
      <x:c r="S439" s="4" t="str">
        <x:v>add项目yj88</x:v>
      </x:c>
      <x:c r="T439" s="4" t="n">
        <x:v>437</x:v>
      </x:c>
      <x:c r="U439" s="4" t="str">
        <x:v>https://github.com/smartloli/EFAK</x:v>
      </x:c>
      <x:c r="V439" s="4" t="str">
        <x:v>smartloli/efak</x:v>
      </x:c>
    </x:row>
    <x:row r="440" ht="44" customHeight="1">
      <x:c r="A440" s="4" t="n">
        <x:v>435</x:v>
      </x:c>
      <x:c r="B440" s="4" t="str">
        <x:v>Gecco</x:v>
      </x:c>
      <x:c r="C440" s="4" t="n">
        <x:v>12</x:v>
      </x:c>
      <x:c r="D440" s="4" t="str">
        <x:v>办公软件与桌面操作自动化</x:v>
      </x:c>
      <x:c r="E440" s="4" t="str">
        <x:v>本地证据分类</x:v>
      </x:c>
      <x:c r="F440" s="4" t="n">
        <x:v>1</x:v>
      </x:c>
      <x:c r="G440" s="4" t="str">
        <x:v>软件项目</x:v>
      </x:c>
      <x:c r="H440" s="4" t="str">
        <x:v>办公/浏览器执行</x:v>
      </x:c>
      <x:c r="I440" s="4" t="str">
        <x:v>数据库、存储与中间件</x:v>
      </x:c>
      <x:c r="J440" s="4" t="str">
        <x:v>Java</x:v>
      </x:c>
      <x:c r="K440" s="4" t="str">
        <x:v>未获取</x:v>
      </x:c>
      <x:c r="L440" s="4" t="str">
        <x:v>Jsoup / HtmlUnit</x:v>
      </x:c>
      <x:c r="M440" s="4" t="n">
        <x:v>6</x:v>
      </x:c>
      <x:c r="N440" s="4" t="n">
        <x:v>6</x:v>
      </x:c>
      <x:c r="O440" s="4" t="n">
        <x:v>0</x:v>
      </x:c>
      <x:c r="P440" s="9" t="n">
        <x:v>0</x:v>
      </x:c>
      <x:c r="Q440" s="4"/>
      <x:c r="R440" s="4" t="str">
        <x:v>项目名称/框架的明确功能定位；未逐一在线核验README</x:v>
      </x:c>
      <x:c r="S440" s="4" t="str">
        <x:v>add项目yj88</x:v>
      </x:c>
      <x:c r="T440" s="4" t="n">
        <x:v>438</x:v>
      </x:c>
      <x:c r="U440" s="4" t="str">
        <x:v>https://github.com/xtuhcy/gecco</x:v>
      </x:c>
      <x:c r="V440" s="4" t="str">
        <x:v>xtuhcy/gecco</x:v>
      </x:c>
    </x:row>
    <x:row r="441" ht="44" customHeight="1">
      <x:c r="A441" s="4" t="n">
        <x:v>436</x:v>
      </x:c>
      <x:c r="B441" s="4" t="str">
        <x:v>HttpRunner</x:v>
      </x:c>
      <x:c r="C441" s="4" t="n">
        <x:v>14</x:v>
      </x:c>
      <x:c r="D441" s="4" t="str">
        <x:v>软件构建、开发与测试</x:v>
      </x:c>
      <x:c r="E441" s="4" t="str">
        <x:v>本地证据分类</x:v>
      </x:c>
      <x:c r="F441" s="4" t="n">
        <x:v>1</x:v>
      </x:c>
      <x:c r="G441" s="4" t="str">
        <x:v>软件项目</x:v>
      </x:c>
      <x:c r="H441" s="4" t="str">
        <x:v>软件工程；编程Agent需额外挂13标签</x:v>
      </x:c>
      <x:c r="I441" s="4" t="str">
        <x:v>开发工具与工程效率</x:v>
      </x:c>
      <x:c r="J441" s="4" t="str">
        <x:v>Python</x:v>
      </x:c>
      <x:c r="K441" s="4" t="str">
        <x:v>未获取</x:v>
      </x:c>
      <x:c r="L441" s="4" t="str">
        <x:v>pytest</x:v>
      </x:c>
      <x:c r="M441" s="4" t="n">
        <x:v>6</x:v>
      </x:c>
      <x:c r="N441" s="4" t="n">
        <x:v>6</x:v>
      </x:c>
      <x:c r="O441" s="4" t="n">
        <x:v>5</x:v>
      </x:c>
      <x:c r="P441" s="9" t="n">
        <x:v>0.8333333333333334</x:v>
      </x:c>
      <x:c r="Q441" s="4"/>
      <x:c r="R441" s="4" t="str">
        <x:v>项目名称/框架的明确功能定位；未逐一在线核验README</x:v>
      </x:c>
      <x:c r="S441" s="4" t="str">
        <x:v>add项目yj88</x:v>
      </x:c>
      <x:c r="T441" s="4" t="n">
        <x:v>439</x:v>
      </x:c>
      <x:c r="U441" s="4" t="str">
        <x:v>https://github.com/HttpRunner/HttpRunner</x:v>
      </x:c>
      <x:c r="V441" s="4" t="str">
        <x:v>httprunner/httprunner</x:v>
      </x:c>
    </x:row>
    <x:row r="442" ht="44" customHeight="1">
      <x:c r="A442" s="4" t="n">
        <x:v>437</x:v>
      </x:c>
      <x:c r="B442" s="4" t="str">
        <x:v>JeecgBoot</x:v>
      </x:c>
      <x:c r="C442" s="4" t="n">
        <x:v>6</x:v>
      </x:c>
      <x:c r="D442" s="4" t="str">
        <x:v>后端服务与业务流程</x:v>
      </x:c>
      <x:c r="E442" s="4" t="str">
        <x:v>本地证据分类</x:v>
      </x:c>
      <x:c r="F442" s="4" t="n">
        <x:v>1</x:v>
      </x:c>
      <x:c r="G442" s="4" t="str">
        <x:v>软件项目</x:v>
      </x:c>
      <x:c r="H442" s="4" t="str">
        <x:v>业务应用/确定性工作流</x:v>
      </x:c>
      <x:c r="I442" s="4" t="str">
        <x:v>Web 与业务服务</x:v>
      </x:c>
      <x:c r="J442" s="4" t="str">
        <x:v>Java</x:v>
      </x:c>
      <x:c r="K442" s="4" t="str">
        <x:v>未获取</x:v>
      </x:c>
      <x:c r="L442" s="4" t="str">
        <x:v>Spring Boot / Shiro</x:v>
      </x:c>
      <x:c r="M442" s="4" t="n">
        <x:v>10</x:v>
      </x:c>
      <x:c r="N442" s="4" t="n">
        <x:v>10</x:v>
      </x:c>
      <x:c r="O442" s="4" t="n">
        <x:v>2</x:v>
      </x:c>
      <x:c r="P442" s="9" t="n">
        <x:v>0.2</x:v>
      </x:c>
      <x:c r="Q442" s="4"/>
      <x:c r="R442" s="4" t="str">
        <x:v>项目名称/框架的明确功能定位；未逐一在线核验README</x:v>
      </x:c>
      <x:c r="S442" s="4" t="str">
        <x:v>add项目yj88</x:v>
      </x:c>
      <x:c r="T442" s="4" t="n">
        <x:v>440</x:v>
      </x:c>
      <x:c r="U442" s="4" t="str">
        <x:v>https://github.com/jeecgboot/JeecgBoot</x:v>
      </x:c>
      <x:c r="V442" s="4" t="str">
        <x:v>jeecgboot/jeecgboot</x:v>
      </x:c>
    </x:row>
    <x:row r="443" ht="44" customHeight="1">
      <x:c r="A443" s="4" t="n">
        <x:v>438</x:v>
      </x:c>
      <x:c r="B443" s="4" t="str">
        <x:v>Jenkins</x:v>
      </x:c>
      <x:c r="C443" s="4" t="n">
        <x:v>15</x:v>
      </x:c>
      <x:c r="D443" s="4" t="str">
        <x:v>部署运维与可观测性</x:v>
      </x:c>
      <x:c r="E443" s="4" t="str">
        <x:v>本地证据分类</x:v>
      </x:c>
      <x:c r="F443" s="4" t="n">
        <x:v>1</x:v>
      </x:c>
      <x:c r="G443" s="4" t="str">
        <x:v>软件项目</x:v>
      </x:c>
      <x:c r="H443" s="4" t="str">
        <x:v>运维/可观测性</x:v>
      </x:c>
      <x:c r="I443" s="4" t="str">
        <x:v>Web 与业务服务</x:v>
      </x:c>
      <x:c r="J443" s="4" t="str">
        <x:v>Java</x:v>
      </x:c>
      <x:c r="K443" s="4" t="str">
        <x:v>未获取</x:v>
      </x:c>
      <x:c r="L443" s="4" t="str">
        <x:v>Spring / Stapler</x:v>
      </x:c>
      <x:c r="M443" s="4" t="n">
        <x:v>7</x:v>
      </x:c>
      <x:c r="N443" s="4" t="n">
        <x:v>7</x:v>
      </x:c>
      <x:c r="O443" s="4" t="n">
        <x:v>0</x:v>
      </x:c>
      <x:c r="P443" s="9" t="n">
        <x:v>0</x:v>
      </x:c>
      <x:c r="Q443" s="4"/>
      <x:c r="R443" s="4" t="str">
        <x:v>项目名称/框架的明确功能定位；未逐一在线核验README</x:v>
      </x:c>
      <x:c r="S443" s="4" t="str">
        <x:v>add项目yj88</x:v>
      </x:c>
      <x:c r="T443" s="4" t="n">
        <x:v>441</x:v>
      </x:c>
      <x:c r="U443" s="4" t="str">
        <x:v>https://github.com/jenkinsci/jenkins</x:v>
      </x:c>
      <x:c r="V443" s="4" t="str">
        <x:v>jenkinsci/jenkins</x:v>
      </x:c>
    </x:row>
    <x:row r="444" ht="44" customHeight="1">
      <x:c r="A444" s="4" t="n">
        <x:v>439</x:v>
      </x:c>
      <x:c r="B444" s="4" t="str">
        <x:v>MediaCrawler</x:v>
      </x:c>
      <x:c r="C444" s="4" t="n">
        <x:v>12</x:v>
      </x:c>
      <x:c r="D444" s="4" t="str">
        <x:v>办公软件与桌面操作自动化</x:v>
      </x:c>
      <x:c r="E444" s="4" t="str">
        <x:v>本地证据分类</x:v>
      </x:c>
      <x:c r="F444" s="4" t="n">
        <x:v>0</x:v>
      </x:c>
      <x:c r="G444" s="4" t="str">
        <x:v>软件项目</x:v>
      </x:c>
      <x:c r="H444" s="4" t="str">
        <x:v>办公/浏览器执行</x:v>
      </x:c>
      <x:c r="I444" s="4" t="str">
        <x:v>浏览器自动化与数据采集</x:v>
      </x:c>
      <x:c r="J444" s="4" t="str">
        <x:v>Python</x:v>
      </x:c>
      <x:c r="K444" s="4" t="str">
        <x:v>未获取</x:v>
      </x:c>
      <x:c r="L444" s="4" t="str">
        <x:v>Playwright</x:v>
      </x:c>
      <x:c r="M444" s="4" t="n">
        <x:v>6</x:v>
      </x:c>
      <x:c r="N444" s="4" t="n">
        <x:v>6</x:v>
      </x:c>
      <x:c r="O444" s="4" t="n">
        <x:v>5</x:v>
      </x:c>
      <x:c r="P444" s="9" t="n">
        <x:v>0.8333333333333334</x:v>
      </x:c>
      <x:c r="Q444" s="4" t="n">
        <x:v>74</x:v>
      </x:c>
      <x:c r="R444" s="4" t="str">
        <x:v>项目名称/框架的明确功能定位；未逐一在线核验README</x:v>
      </x:c>
      <x:c r="S444" s="4" t="str">
        <x:v>add项目yj88</x:v>
      </x:c>
      <x:c r="T444" s="4" t="n">
        <x:v>442</x:v>
      </x:c>
      <x:c r="U444" s="4" t="str">
        <x:v>https://github.com/NanmiCoder/MediaCrawler</x:v>
      </x:c>
      <x:c r="V444" s="4" t="str">
        <x:v>nanmicoder/mediacrawler</x:v>
      </x:c>
    </x:row>
    <x:row r="445" ht="44" customHeight="1">
      <x:c r="A445" s="4" t="n">
        <x:v>440</x:v>
      </x:c>
      <x:c r="B445" s="4" t="str">
        <x:v>Neovim</x:v>
      </x:c>
      <x:c r="C445" s="4" t="n">
        <x:v>14</x:v>
      </x:c>
      <x:c r="D445" s="4" t="str">
        <x:v>软件构建、开发与测试</x:v>
      </x:c>
      <x:c r="E445" s="4" t="str">
        <x:v>本地证据分类</x:v>
      </x:c>
      <x:c r="F445" s="4" t="n">
        <x:v>1</x:v>
      </x:c>
      <x:c r="G445" s="4" t="str">
        <x:v>软件项目</x:v>
      </x:c>
      <x:c r="H445" s="4" t="str">
        <x:v>软件工程；编程Agent需额外挂13标签</x:v>
      </x:c>
      <x:c r="I445" s="4" t="str">
        <x:v>桌面、TUI 与跨端应用</x:v>
      </x:c>
      <x:c r="J445" s="4" t="str">
        <x:v>C/C++</x:v>
      </x:c>
      <x:c r="K445" s="4" t="str">
        <x:v>未获取</x:v>
      </x:c>
      <x:c r="L445" s="4" t="str">
        <x:v>libuv / ncurses</x:v>
      </x:c>
      <x:c r="M445" s="4" t="n">
        <x:v>6</x:v>
      </x:c>
      <x:c r="N445" s="4" t="n">
        <x:v>6</x:v>
      </x:c>
      <x:c r="O445" s="4" t="n">
        <x:v>5</x:v>
      </x:c>
      <x:c r="P445" s="9" t="n">
        <x:v>0.8333333333333334</x:v>
      </x:c>
      <x:c r="Q445" s="4"/>
      <x:c r="R445" s="4" t="str">
        <x:v>项目名称/框架的明确功能定位；未逐一在线核验README</x:v>
      </x:c>
      <x:c r="S445" s="4" t="str">
        <x:v>add项目yj88</x:v>
      </x:c>
      <x:c r="T445" s="4" t="n">
        <x:v>443</x:v>
      </x:c>
      <x:c r="U445" s="4" t="str">
        <x:v>https://github.com/neovim/neovim</x:v>
      </x:c>
      <x:c r="V445" s="4" t="str">
        <x:v>neovim/neovim</x:v>
      </x:c>
    </x:row>
    <x:row r="446" ht="44" customHeight="1">
      <x:c r="A446" s="4" t="n">
        <x:v>441</x:v>
      </x:c>
      <x:c r="B446" s="4" t="str">
        <x:v>NettyChat</x:v>
      </x:c>
      <x:c r="C446" s="4" t="n">
        <x:v>6</x:v>
      </x:c>
      <x:c r="D446" s="4" t="str">
        <x:v>后端服务与业务流程</x:v>
      </x:c>
      <x:c r="E446" s="4" t="str">
        <x:v>本地证据分类</x:v>
      </x:c>
      <x:c r="F446" s="4" t="n">
        <x:v>1</x:v>
      </x:c>
      <x:c r="G446" s="4" t="str">
        <x:v>软件项目</x:v>
      </x:c>
      <x:c r="H446" s="4" t="str">
        <x:v>业务应用/确定性工作流</x:v>
      </x:c>
      <x:c r="I446" s="4" t="str">
        <x:v>Web 与业务服务</x:v>
      </x:c>
      <x:c r="J446" s="4" t="str">
        <x:v>Java</x:v>
      </x:c>
      <x:c r="K446" s="4" t="str">
        <x:v>未获取</x:v>
      </x:c>
      <x:c r="L446" s="4" t="str">
        <x:v>Netty / Spring Boot</x:v>
      </x:c>
      <x:c r="M446" s="4" t="n">
        <x:v>7</x:v>
      </x:c>
      <x:c r="N446" s="4" t="n">
        <x:v>7</x:v>
      </x:c>
      <x:c r="O446" s="4" t="n">
        <x:v>0</x:v>
      </x:c>
      <x:c r="P446" s="9" t="n">
        <x:v>0</x:v>
      </x:c>
      <x:c r="Q446" s="4"/>
      <x:c r="R446" s="4" t="str">
        <x:v>项目名称/框架的明确功能定位；未逐一在线核验README</x:v>
      </x:c>
      <x:c r="S446" s="4" t="str">
        <x:v>add项目yj88</x:v>
      </x:c>
      <x:c r="T446" s="4" t="n">
        <x:v>444</x:v>
      </x:c>
      <x:c r="U446" s="4" t="str">
        <x:v>https://github.com/Mr14Job/NettyChat</x:v>
      </x:c>
      <x:c r="V446" s="4" t="str">
        <x:v>mr14job/nettychat</x:v>
      </x:c>
    </x:row>
    <x:row r="447" ht="44" customHeight="1">
      <x:c r="A447" s="4" t="n">
        <x:v>442</x:v>
      </x:c>
      <x:c r="B447" s="4" t="str">
        <x:v>Pig</x:v>
      </x:c>
      <x:c r="C447" s="4" t="n">
        <x:v>6</x:v>
      </x:c>
      <x:c r="D447" s="4" t="str">
        <x:v>后端服务与业务流程</x:v>
      </x:c>
      <x:c r="E447" s="4" t="str">
        <x:v>本地证据分类</x:v>
      </x:c>
      <x:c r="F447" s="4" t="n">
        <x:v>1</x:v>
      </x:c>
      <x:c r="G447" s="4" t="str">
        <x:v>软件项目</x:v>
      </x:c>
      <x:c r="H447" s="4" t="str">
        <x:v>业务应用/确定性工作流</x:v>
      </x:c>
      <x:c r="I447" s="4" t="str">
        <x:v>云原生、运维与安全</x:v>
      </x:c>
      <x:c r="J447" s="4" t="str">
        <x:v>Java</x:v>
      </x:c>
      <x:c r="K447" s="4" t="str">
        <x:v>未获取</x:v>
      </x:c>
      <x:c r="L447" s="4" t="str">
        <x:v>Spring Cloud / OAuth2</x:v>
      </x:c>
      <x:c r="M447" s="4" t="n">
        <x:v>9</x:v>
      </x:c>
      <x:c r="N447" s="4" t="n">
        <x:v>9</x:v>
      </x:c>
      <x:c r="O447" s="4" t="n">
        <x:v>2</x:v>
      </x:c>
      <x:c r="P447" s="9" t="n">
        <x:v>0.2222222222222222</x:v>
      </x:c>
      <x:c r="Q447" s="4"/>
      <x:c r="R447" s="4" t="str">
        <x:v>项目名称/框架的明确功能定位；未逐一在线核验README</x:v>
      </x:c>
      <x:c r="S447" s="4" t="str">
        <x:v>add项目yj88</x:v>
      </x:c>
      <x:c r="T447" s="4" t="n">
        <x:v>445</x:v>
      </x:c>
      <x:c r="U447" s="4" t="str">
        <x:v>https://github.com/pig-mesh/pig</x:v>
      </x:c>
      <x:c r="V447" s="4" t="str">
        <x:v>pig-mesh/pig</x:v>
      </x:c>
    </x:row>
    <x:row r="448" ht="44" customHeight="1">
      <x:c r="A448" s="4" t="n">
        <x:v>443</x:v>
      </x:c>
      <x:c r="B448" s="4" t="str">
        <x:v>PostHog</x:v>
      </x:c>
      <x:c r="C448" s="4" t="n">
        <x:v>15</x:v>
      </x:c>
      <x:c r="D448" s="4" t="str">
        <x:v>部署运维与可观测性</x:v>
      </x:c>
      <x:c r="E448" s="4" t="str">
        <x:v>元数据已核验</x:v>
      </x:c>
      <x:c r="F448" s="4" t="n">
        <x:v>1</x:v>
      </x:c>
      <x:c r="G448" s="4" t="str">
        <x:v>软件项目</x:v>
      </x:c>
      <x:c r="H448" s="4" t="str">
        <x:v>运维/可观测性</x:v>
      </x:c>
      <x:c r="I448" s="4" t="str">
        <x:v>Web 与业务服务</x:v>
      </x:c>
      <x:c r="J448" s="4" t="str">
        <x:v>Python</x:v>
      </x:c>
      <x:c r="K448" s="4" t="str">
        <x:v>Python</x:v>
      </x:c>
      <x:c r="L448" s="4" t="str">
        <x:v>Django</x:v>
      </x:c>
      <x:c r="M448" s="4" t="n">
        <x:v>6</x:v>
      </x:c>
      <x:c r="N448" s="4" t="n">
        <x:v>6</x:v>
      </x:c>
      <x:c r="O448" s="4" t="n">
        <x:v>3</x:v>
      </x:c>
      <x:c r="P448" s="9" t="n">
        <x:v>0.5</x:v>
      </x:c>
      <x:c r="Q448" s="4"/>
      <x:c r="R448" s="4" t="str">
        <x:v>项目定位与GitHub描述人工对照</x:v>
      </x:c>
      <x:c r="S448" s="4" t="str">
        <x:v>add项目yj88</x:v>
      </x:c>
      <x:c r="T448" s="4" t="n">
        <x:v>446</x:v>
      </x:c>
      <x:c r="U448" s="4" t="str">
        <x:v>https://github.com/PostHog/posthog</x:v>
      </x:c>
      <x:c r="V448" s="4" t="str">
        <x:v>posthog/posthog</x:v>
      </x:c>
    </x:row>
    <x:row r="449" ht="44" customHeight="1">
      <x:c r="A449" s="4" t="n">
        <x:v>444</x:v>
      </x:c>
      <x:c r="B449" s="4" t="str">
        <x:v>RAGFlow</x:v>
      </x:c>
      <x:c r="C449" s="4" t="n">
        <x:v>13</x:v>
      </x:c>
      <x:c r="D449" s="4" t="str">
        <x:v>Agent编排与工具执行</x:v>
      </x:c>
      <x:c r="E449" s="4" t="str">
        <x:v>本地证据分类</x:v>
      </x:c>
      <x:c r="F449" s="4" t="n">
        <x:v>1</x:v>
      </x:c>
      <x:c r="G449" s="4" t="str">
        <x:v>软件项目</x:v>
      </x:c>
      <x:c r="H449" s="4" t="str">
        <x:v>Agent/模型与工具</x:v>
      </x:c>
      <x:c r="I449" s="4" t="str">
        <x:v>数据库、存储与中间件</x:v>
      </x:c>
      <x:c r="J449" s="4" t="str">
        <x:v>Python</x:v>
      </x:c>
      <x:c r="K449" s="4" t="str">
        <x:v>未获取</x:v>
      </x:c>
      <x:c r="L449" s="4" t="str">
        <x:v>—</x:v>
      </x:c>
      <x:c r="M449" s="4" t="n">
        <x:v>6</x:v>
      </x:c>
      <x:c r="N449" s="4" t="n">
        <x:v>6</x:v>
      </x:c>
      <x:c r="O449" s="4" t="n">
        <x:v>3</x:v>
      </x:c>
      <x:c r="P449" s="9" t="n">
        <x:v>0.5</x:v>
      </x:c>
      <x:c r="Q449" s="4"/>
      <x:c r="R449" s="4" t="str">
        <x:v>项目名称/框架的明确功能定位；未逐一在线核验README</x:v>
      </x:c>
      <x:c r="S449" s="4" t="str">
        <x:v>add项目yj88</x:v>
      </x:c>
      <x:c r="T449" s="4" t="n">
        <x:v>447</x:v>
      </x:c>
      <x:c r="U449" s="4" t="str">
        <x:v>https://github.com/infiniflow/ragflow</x:v>
      </x:c>
      <x:c r="V449" s="4" t="str">
        <x:v>infiniflow/ragflow</x:v>
      </x:c>
    </x:row>
    <x:row r="450" ht="44" customHeight="1">
      <x:c r="A450" s="4" t="n">
        <x:v>445</x:v>
      </x:c>
      <x:c r="B450" s="4" t="str">
        <x:v>RuoYi-Cloud</x:v>
      </x:c>
      <x:c r="C450" s="4" t="n">
        <x:v>6</x:v>
      </x:c>
      <x:c r="D450" s="4" t="str">
        <x:v>后端服务与业务流程</x:v>
      </x:c>
      <x:c r="E450" s="4" t="str">
        <x:v>本地证据分类</x:v>
      </x:c>
      <x:c r="F450" s="4" t="n">
        <x:v>1</x:v>
      </x:c>
      <x:c r="G450" s="4" t="str">
        <x:v>软件项目</x:v>
      </x:c>
      <x:c r="H450" s="4" t="str">
        <x:v>业务应用/确定性工作流</x:v>
      </x:c>
      <x:c r="I450" s="4" t="str">
        <x:v>云原生、运维与安全</x:v>
      </x:c>
      <x:c r="J450" s="4" t="str">
        <x:v>Java</x:v>
      </x:c>
      <x:c r="K450" s="4" t="str">
        <x:v>未获取</x:v>
      </x:c>
      <x:c r="L450" s="4" t="str">
        <x:v>Spring Cloud Alibaba</x:v>
      </x:c>
      <x:c r="M450" s="4" t="n">
        <x:v>8</x:v>
      </x:c>
      <x:c r="N450" s="4" t="n">
        <x:v>8</x:v>
      </x:c>
      <x:c r="O450" s="4" t="n">
        <x:v>2</x:v>
      </x:c>
      <x:c r="P450" s="9" t="n">
        <x:v>0.25</x:v>
      </x:c>
      <x:c r="Q450" s="4"/>
      <x:c r="R450" s="4" t="str">
        <x:v>项目名称/框架的明确功能定位；未逐一在线核验README</x:v>
      </x:c>
      <x:c r="S450" s="4" t="str">
        <x:v>add项目yj88</x:v>
      </x:c>
      <x:c r="T450" s="4" t="n">
        <x:v>448</x:v>
      </x:c>
      <x:c r="U450" s="4" t="str">
        <x:v>https://github.com/yangzongzhuan/RuoYi-Cloud</x:v>
      </x:c>
      <x:c r="V450" s="4" t="str">
        <x:v>yangzongzhuan/ruoyi-cloud</x:v>
      </x:c>
    </x:row>
    <x:row r="451" ht="44" customHeight="1">
      <x:c r="A451" s="4" t="n">
        <x:v>446</x:v>
      </x:c>
      <x:c r="B451" s="4" t="str">
        <x:v>Saleor</x:v>
      </x:c>
      <x:c r="C451" s="4" t="n">
        <x:v>6</x:v>
      </x:c>
      <x:c r="D451" s="4" t="str">
        <x:v>后端服务与业务流程</x:v>
      </x:c>
      <x:c r="E451" s="4" t="str">
        <x:v>本地证据分类</x:v>
      </x:c>
      <x:c r="F451" s="4" t="n">
        <x:v>1</x:v>
      </x:c>
      <x:c r="G451" s="4" t="str">
        <x:v>软件项目</x:v>
      </x:c>
      <x:c r="H451" s="4" t="str">
        <x:v>业务应用/确定性工作流</x:v>
      </x:c>
      <x:c r="I451" s="4" t="str">
        <x:v>Web 与业务服务</x:v>
      </x:c>
      <x:c r="J451" s="4" t="str">
        <x:v>Python</x:v>
      </x:c>
      <x:c r="K451" s="4" t="str">
        <x:v>未获取</x:v>
      </x:c>
      <x:c r="L451" s="4" t="str">
        <x:v>Django / GraphQL</x:v>
      </x:c>
      <x:c r="M451" s="4" t="n">
        <x:v>6</x:v>
      </x:c>
      <x:c r="N451" s="4" t="n">
        <x:v>6</x:v>
      </x:c>
      <x:c r="O451" s="4" t="n">
        <x:v>2</x:v>
      </x:c>
      <x:c r="P451" s="9" t="n">
        <x:v>0.3333333333333333</x:v>
      </x:c>
      <x:c r="Q451" s="4"/>
      <x:c r="R451" s="4" t="str">
        <x:v>项目名称/框架的明确功能定位；未逐一在线核验README</x:v>
      </x:c>
      <x:c r="S451" s="4" t="str">
        <x:v>add项目yj88</x:v>
      </x:c>
      <x:c r="T451" s="4" t="n">
        <x:v>449</x:v>
      </x:c>
      <x:c r="U451" s="4" t="str">
        <x:v>https://github.com/saleor/saleor</x:v>
      </x:c>
      <x:c r="V451" s="4" t="str">
        <x:v>saleor/saleor</x:v>
      </x:c>
    </x:row>
    <x:row r="452" ht="44" customHeight="1">
      <x:c r="A452" s="4" t="n">
        <x:v>447</x:v>
      </x:c>
      <x:c r="B452" s="4" t="str">
        <x:v>Seata</x:v>
      </x:c>
      <x:c r="C452" s="4" t="n">
        <x:v>6</x:v>
      </x:c>
      <x:c r="D452" s="4" t="str">
        <x:v>后端服务与业务流程</x:v>
      </x:c>
      <x:c r="E452" s="4" t="str">
        <x:v>本地证据分类</x:v>
      </x:c>
      <x:c r="F452" s="4" t="n">
        <x:v>1</x:v>
      </x:c>
      <x:c r="G452" s="4" t="str">
        <x:v>软件项目</x:v>
      </x:c>
      <x:c r="H452" s="4" t="str">
        <x:v>业务应用/确定性工作流</x:v>
      </x:c>
      <x:c r="I452" s="4" t="str">
        <x:v>Web 与业务服务</x:v>
      </x:c>
      <x:c r="J452" s="4" t="str">
        <x:v>Java</x:v>
      </x:c>
      <x:c r="K452" s="4" t="str">
        <x:v>未获取</x:v>
      </x:c>
      <x:c r="L452" s="4" t="str">
        <x:v>Spring Boot</x:v>
      </x:c>
      <x:c r="M452" s="4" t="n">
        <x:v>7</x:v>
      </x:c>
      <x:c r="N452" s="4" t="n">
        <x:v>7</x:v>
      </x:c>
      <x:c r="O452" s="4" t="n">
        <x:v>0</x:v>
      </x:c>
      <x:c r="P452" s="9" t="n">
        <x:v>0</x:v>
      </x:c>
      <x:c r="Q452" s="4"/>
      <x:c r="R452" s="4" t="str">
        <x:v>项目名称/框架的明确功能定位；未逐一在线核验README</x:v>
      </x:c>
      <x:c r="S452" s="4" t="str">
        <x:v>add项目yj88</x:v>
      </x:c>
      <x:c r="T452" s="4" t="n">
        <x:v>450</x:v>
      </x:c>
      <x:c r="U452" s="4" t="str">
        <x:v>https://github.com/apache/incubator-seata</x:v>
      </x:c>
      <x:c r="V452" s="4" t="str">
        <x:v>apache/incubator-seata</x:v>
      </x:c>
    </x:row>
    <x:row r="453" ht="44" customHeight="1">
      <x:c r="A453" s="4" t="n">
        <x:v>448</x:v>
      </x:c>
      <x:c r="B453" s="4" t="str">
        <x:v>SeleniumBase</x:v>
      </x:c>
      <x:c r="C453" s="4" t="n">
        <x:v>14</x:v>
      </x:c>
      <x:c r="D453" s="4" t="str">
        <x:v>软件构建、开发与测试</x:v>
      </x:c>
      <x:c r="E453" s="4" t="str">
        <x:v>本地证据分类</x:v>
      </x:c>
      <x:c r="F453" s="4" t="n">
        <x:v>0</x:v>
      </x:c>
      <x:c r="G453" s="4" t="str">
        <x:v>软件项目</x:v>
      </x:c>
      <x:c r="H453" s="4" t="str">
        <x:v>软件工程；编程Agent需额外挂13标签</x:v>
      </x:c>
      <x:c r="I453" s="4" t="str">
        <x:v>浏览器自动化与数据采集</x:v>
      </x:c>
      <x:c r="J453" s="4" t="str">
        <x:v>Python</x:v>
      </x:c>
      <x:c r="K453" s="4" t="str">
        <x:v>未获取</x:v>
      </x:c>
      <x:c r="L453" s="4" t="str">
        <x:v>Selenium / pytest</x:v>
      </x:c>
      <x:c r="M453" s="4" t="n">
        <x:v>5</x:v>
      </x:c>
      <x:c r="N453" s="4" t="n">
        <x:v>5</x:v>
      </x:c>
      <x:c r="O453" s="4" t="n">
        <x:v>3</x:v>
      </x:c>
      <x:c r="P453" s="9" t="n">
        <x:v>0.6</x:v>
      </x:c>
      <x:c r="Q453" s="4" t="n">
        <x:v>365</x:v>
      </x:c>
      <x:c r="R453" s="4" t="str">
        <x:v>项目名称/框架的明确功能定位；未逐一在线核验README</x:v>
      </x:c>
      <x:c r="S453" s="4" t="str">
        <x:v>add项目yj88</x:v>
      </x:c>
      <x:c r="T453" s="4" t="n">
        <x:v>451</x:v>
      </x:c>
      <x:c r="U453" s="4" t="str">
        <x:v>https://github.com/seleniumbase/SeleniumBase</x:v>
      </x:c>
      <x:c r="V453" s="4" t="str">
        <x:v>seleniumbase/seleniumbase</x:v>
      </x:c>
    </x:row>
    <x:row r="454" ht="44" customHeight="1">
      <x:c r="A454" s="4" t="n">
        <x:v>449</x:v>
      </x:c>
      <x:c r="B454" s="4" t="str">
        <x:v>SinaSpider</x:v>
      </x:c>
      <x:c r="C454" s="4" t="n">
        <x:v>12</x:v>
      </x:c>
      <x:c r="D454" s="4" t="str">
        <x:v>办公软件与桌面操作自动化</x:v>
      </x:c>
      <x:c r="E454" s="4" t="str">
        <x:v>本地证据分类</x:v>
      </x:c>
      <x:c r="F454" s="4" t="n">
        <x:v>1</x:v>
      </x:c>
      <x:c r="G454" s="4" t="str">
        <x:v>软件项目</x:v>
      </x:c>
      <x:c r="H454" s="4" t="str">
        <x:v>办公/浏览器执行</x:v>
      </x:c>
      <x:c r="I454" s="4" t="str">
        <x:v>浏览器自动化与数据采集</x:v>
      </x:c>
      <x:c r="J454" s="4" t="str">
        <x:v>Python</x:v>
      </x:c>
      <x:c r="K454" s="4" t="str">
        <x:v>未获取</x:v>
      </x:c>
      <x:c r="L454" s="4" t="str">
        <x:v>Scrapy</x:v>
      </x:c>
      <x:c r="M454" s="4" t="n">
        <x:v>4</x:v>
      </x:c>
      <x:c r="N454" s="4" t="n">
        <x:v>4</x:v>
      </x:c>
      <x:c r="O454" s="4" t="n">
        <x:v>2</x:v>
      </x:c>
      <x:c r="P454" s="9" t="n">
        <x:v>0.5</x:v>
      </x:c>
      <x:c r="Q454" s="4"/>
      <x:c r="R454" s="4" t="str">
        <x:v>项目名称/框架的明确功能定位；未逐一在线核验README</x:v>
      </x:c>
      <x:c r="S454" s="4" t="str">
        <x:v>add项目yj88</x:v>
      </x:c>
      <x:c r="T454" s="4" t="n">
        <x:v>452</x:v>
      </x:c>
      <x:c r="U454" s="4" t="str">
        <x:v>https://github.com/LiuXingMing/SinaSpider</x:v>
      </x:c>
      <x:c r="V454" s="4" t="str">
        <x:v>liuxingming/sinaspider</x:v>
      </x:c>
    </x:row>
    <x:row r="455" ht="44" customHeight="1">
      <x:c r="A455" s="4" t="n">
        <x:v>450</x:v>
      </x:c>
      <x:c r="B455" s="4" t="str">
        <x:v>akshare</x:v>
      </x:c>
      <x:c r="C455" s="4" t="n">
        <x:v>8</x:v>
      </x:c>
      <x:c r="D455" s="4" t="str">
        <x:v>数据处理与科学计算</x:v>
      </x:c>
      <x:c r="E455" s="4" t="str">
        <x:v>本地证据分类</x:v>
      </x:c>
      <x:c r="F455" s="4" t="n">
        <x:v>1</x:v>
      </x:c>
      <x:c r="G455" s="4" t="str">
        <x:v>软件项目</x:v>
      </x:c>
      <x:c r="H455" s="4" t="str">
        <x:v>数据/行业分析</x:v>
      </x:c>
      <x:c r="I455" s="4" t="str">
        <x:v>数据分析与科学计算</x:v>
      </x:c>
      <x:c r="J455" s="4" t="str">
        <x:v>Python</x:v>
      </x:c>
      <x:c r="K455" s="4" t="str">
        <x:v>未获取</x:v>
      </x:c>
      <x:c r="L455" s="4" t="str">
        <x:v>Pandas</x:v>
      </x:c>
      <x:c r="M455" s="4" t="n">
        <x:v>6</x:v>
      </x:c>
      <x:c r="N455" s="4" t="n">
        <x:v>6</x:v>
      </x:c>
      <x:c r="O455" s="4" t="n">
        <x:v>6</x:v>
      </x:c>
      <x:c r="P455" s="9" t="n">
        <x:v>1</x:v>
      </x:c>
      <x:c r="Q455" s="4"/>
      <x:c r="R455" s="4" t="str">
        <x:v>项目名称/框架的明确功能定位；未逐一在线核验README</x:v>
      </x:c>
      <x:c r="S455" s="4" t="str">
        <x:v>add项目yj88</x:v>
      </x:c>
      <x:c r="T455" s="4" t="n">
        <x:v>453</x:v>
      </x:c>
      <x:c r="U455" s="4" t="str">
        <x:v>https://github.com/akfamily/akshare</x:v>
      </x:c>
      <x:c r="V455" s="4" t="str">
        <x:v>akfamily/akshare</x:v>
      </x:c>
    </x:row>
    <x:row r="456" ht="44" customHeight="1">
      <x:c r="A456" s="4" t="n">
        <x:v>451</x:v>
      </x:c>
      <x:c r="B456" s="4" t="str">
        <x:v>ansible-for-devops</x:v>
      </x:c>
      <x:c r="C456" s="4" t="n">
        <x:v>15</x:v>
      </x:c>
      <x:c r="D456" s="4" t="str">
        <x:v>部署运维与可观测性</x:v>
      </x:c>
      <x:c r="E456" s="4" t="str">
        <x:v>本地证据分类</x:v>
      </x:c>
      <x:c r="F456" s="4" t="n">
        <x:v>1</x:v>
      </x:c>
      <x:c r="G456" s="4" t="str">
        <x:v>软件项目</x:v>
      </x:c>
      <x:c r="H456" s="4" t="str">
        <x:v>运维/可观测性</x:v>
      </x:c>
      <x:c r="I456" s="4" t="str">
        <x:v>云原生、运维与安全</x:v>
      </x:c>
      <x:c r="J456" s="4" t="str">
        <x:v>Python</x:v>
      </x:c>
      <x:c r="K456" s="4" t="str">
        <x:v>未获取</x:v>
      </x:c>
      <x:c r="L456" s="4" t="str">
        <x:v>Ansible</x:v>
      </x:c>
      <x:c r="M456" s="4" t="n">
        <x:v>5</x:v>
      </x:c>
      <x:c r="N456" s="4" t="n">
        <x:v>5</x:v>
      </x:c>
      <x:c r="O456" s="4" t="n">
        <x:v>2</x:v>
      </x:c>
      <x:c r="P456" s="9" t="n">
        <x:v>0.4</x:v>
      </x:c>
      <x:c r="Q456" s="4"/>
      <x:c r="R456" s="4" t="str">
        <x:v>项目名称/框架的明确功能定位；未逐一在线核验README</x:v>
      </x:c>
      <x:c r="S456" s="4" t="str">
        <x:v>add项目yj88</x:v>
      </x:c>
      <x:c r="T456" s="4" t="n">
        <x:v>454</x:v>
      </x:c>
      <x:c r="U456" s="4" t="str">
        <x:v>https://github.com/geerlingguy/ansible-for-devops</x:v>
      </x:c>
      <x:c r="V456" s="4" t="str">
        <x:v>geerlingguy/ansible-for-devops</x:v>
      </x:c>
    </x:row>
    <x:row r="457" ht="44" customHeight="1">
      <x:c r="A457" s="4" t="n">
        <x:v>452</x:v>
      </x:c>
      <x:c r="B457" s="4" t="str">
        <x:v>ansible-kubernetes</x:v>
      </x:c>
      <x:c r="C457" s="4" t="n">
        <x:v>15</x:v>
      </x:c>
      <x:c r="D457" s="4" t="str">
        <x:v>部署运维与可观测性</x:v>
      </x:c>
      <x:c r="E457" s="4" t="str">
        <x:v>本地证据分类</x:v>
      </x:c>
      <x:c r="F457" s="4" t="n">
        <x:v>1</x:v>
      </x:c>
      <x:c r="G457" s="4" t="str">
        <x:v>软件项目</x:v>
      </x:c>
      <x:c r="H457" s="4" t="str">
        <x:v>运维/可观测性</x:v>
      </x:c>
      <x:c r="I457" s="4" t="str">
        <x:v>云原生、运维与安全</x:v>
      </x:c>
      <x:c r="J457" s="4" t="str">
        <x:v>Python</x:v>
      </x:c>
      <x:c r="K457" s="4" t="str">
        <x:v>未获取</x:v>
      </x:c>
      <x:c r="L457" s="4" t="str">
        <x:v>Ansible</x:v>
      </x:c>
      <x:c r="M457" s="4" t="n">
        <x:v>5</x:v>
      </x:c>
      <x:c r="N457" s="4" t="n">
        <x:v>5</x:v>
      </x:c>
      <x:c r="O457" s="4" t="n">
        <x:v>2</x:v>
      </x:c>
      <x:c r="P457" s="9" t="n">
        <x:v>0.4</x:v>
      </x:c>
      <x:c r="Q457" s="4"/>
      <x:c r="R457" s="4" t="str">
        <x:v>项目名称/框架的明确功能定位；未逐一在线核验README</x:v>
      </x:c>
      <x:c r="S457" s="4" t="str">
        <x:v>add项目yj88</x:v>
      </x:c>
      <x:c r="T457" s="4" t="n">
        <x:v>455</x:v>
      </x:c>
      <x:c r="U457" s="4" t="str">
        <x:v>https://github.com/InsomniaFish/ansible-kubernetes</x:v>
      </x:c>
      <x:c r="V457" s="4" t="str">
        <x:v>insomniafish/ansible-kubernetes</x:v>
      </x:c>
    </x:row>
    <x:row r="458" ht="44" customHeight="1">
      <x:c r="A458" s="4" t="n">
        <x:v>453</x:v>
      </x:c>
      <x:c r="B458" s="4" t="str">
        <x:v>awesome-llm-apps</x:v>
      </x:c>
      <x:c r="C458" s="4"/>
      <x:c r="D458" s="4" t="str">
        <x:v>未归入15类</x:v>
      </x:c>
      <x:c r="E458" s="4" t="str">
        <x:v>范围排除</x:v>
      </x:c>
      <x:c r="F458" s="4" t="n">
        <x:v>0</x:v>
      </x:c>
      <x:c r="G458" s="4" t="str">
        <x:v>教程/资源/技能资产</x:v>
      </x:c>
      <x:c r="H458" s="4" t="str">
        <x:v>知识/数据资产</x:v>
      </x:c>
      <x:c r="I458" s="4" t="str">
        <x:v>Agent 与 AI 应用</x:v>
      </x:c>
      <x:c r="J458" s="4" t="str">
        <x:v>Python</x:v>
      </x:c>
      <x:c r="K458" s="4" t="str">
        <x:v>Python</x:v>
      </x:c>
      <x:c r="L458" s="4" t="str">
        <x:v>LangChain</x:v>
      </x:c>
      <x:c r="M458" s="4" t="n">
        <x:v>6</x:v>
      </x:c>
      <x:c r="N458" s="4" t="n">
        <x:v>6</x:v>
      </x:c>
      <x:c r="O458" s="4" t="n">
        <x:v>2</x:v>
      </x:c>
      <x:c r="P458" s="9" t="n">
        <x:v>0.3333333333333333</x:v>
      </x:c>
      <x:c r="Q458" s="4" t="n">
        <x:v>90</x:v>
      </x:c>
      <x:c r="R458" s="4" t="str">
        <x:v>按项目名称与已获取定位识别为知识、数据或技能资源；非独立软件能力证据</x:v>
      </x:c>
      <x:c r="S458" s="4" t="str">
        <x:v>add项目yj88</x:v>
      </x:c>
      <x:c r="T458" s="4" t="n">
        <x:v>456</x:v>
      </x:c>
      <x:c r="U458" s="4" t="str">
        <x:v>https://github.com/Shubhamsaboo/awesome-llm-apps</x:v>
      </x:c>
      <x:c r="V458" s="4" t="str">
        <x:v>shubhamsaboo/awesome-llm-apps</x:v>
      </x:c>
    </x:row>
    <x:row r="459" ht="44" customHeight="1">
      <x:c r="A459" s="4" t="n">
        <x:v>454</x:v>
      </x:c>
      <x:c r="B459" s="4" t="str">
        <x:v>awesome-python-applications</x:v>
      </x:c>
      <x:c r="C459" s="4"/>
      <x:c r="D459" s="4" t="str">
        <x:v>未归入15类</x:v>
      </x:c>
      <x:c r="E459" s="4" t="str">
        <x:v>范围排除</x:v>
      </x:c>
      <x:c r="F459" s="4" t="n">
        <x:v>0</x:v>
      </x:c>
      <x:c r="G459" s="4" t="str">
        <x:v>教程/资源/技能资产</x:v>
      </x:c>
      <x:c r="H459" s="4" t="str">
        <x:v>知识/数据资产</x:v>
      </x:c>
      <x:c r="I459" s="4" t="str">
        <x:v>数据分析与科学计算</x:v>
      </x:c>
      <x:c r="J459" s="4" t="str">
        <x:v>Python</x:v>
      </x:c>
      <x:c r="K459" s="4" t="str">
        <x:v>未获取</x:v>
      </x:c>
      <x:c r="L459" s="4" t="str">
        <x:v>Pandas / Matplotlib</x:v>
      </x:c>
      <x:c r="M459" s="4" t="n">
        <x:v>5</x:v>
      </x:c>
      <x:c r="N459" s="4" t="n">
        <x:v>5</x:v>
      </x:c>
      <x:c r="O459" s="4" t="n">
        <x:v>4</x:v>
      </x:c>
      <x:c r="P459" s="9" t="n">
        <x:v>0.8</x:v>
      </x:c>
      <x:c r="Q459" s="4"/>
      <x:c r="R459" s="4" t="str">
        <x:v>按项目名称与已获取定位识别为知识、数据或技能资源；非独立软件能力证据</x:v>
      </x:c>
      <x:c r="S459" s="4" t="str">
        <x:v>add项目yj88</x:v>
      </x:c>
      <x:c r="T459" s="4" t="n">
        <x:v>457</x:v>
      </x:c>
      <x:c r="U459" s="4" t="str">
        <x:v>https://github.com/mahmoud/awesome-python-applications</x:v>
      </x:c>
      <x:c r="V459" s="4" t="str">
        <x:v>mahmoud/awesome-python-applications</x:v>
      </x:c>
    </x:row>
    <x:row r="460" ht="44" customHeight="1">
      <x:c r="A460" s="4" t="n">
        <x:v>455</x:v>
      </x:c>
      <x:c r="B460" s="4" t="str">
        <x:v>bigdata_analyse</x:v>
      </x:c>
      <x:c r="C460" s="4" t="n">
        <x:v>8</x:v>
      </x:c>
      <x:c r="D460" s="4" t="str">
        <x:v>数据处理与科学计算</x:v>
      </x:c>
      <x:c r="E460" s="4" t="str">
        <x:v>本地证据分类</x:v>
      </x:c>
      <x:c r="F460" s="4" t="n">
        <x:v>1</x:v>
      </x:c>
      <x:c r="G460" s="4" t="str">
        <x:v>软件项目</x:v>
      </x:c>
      <x:c r="H460" s="4" t="str">
        <x:v>数据/行业分析</x:v>
      </x:c>
      <x:c r="I460" s="4" t="str">
        <x:v>数据库、存储与中间件</x:v>
      </x:c>
      <x:c r="J460" s="4" t="str">
        <x:v>Python</x:v>
      </x:c>
      <x:c r="K460" s="4" t="str">
        <x:v>未获取</x:v>
      </x:c>
      <x:c r="L460" s="4" t="str">
        <x:v>Hadoop / Flink / Hive</x:v>
      </x:c>
      <x:c r="M460" s="4" t="n">
        <x:v>8</x:v>
      </x:c>
      <x:c r="N460" s="4" t="n">
        <x:v>8</x:v>
      </x:c>
      <x:c r="O460" s="4" t="n">
        <x:v>2</x:v>
      </x:c>
      <x:c r="P460" s="9" t="n">
        <x:v>0.25</x:v>
      </x:c>
      <x:c r="Q460" s="4"/>
      <x:c r="R460" s="4" t="str">
        <x:v>项目名称/框架的明确功能定位；未逐一在线核验README</x:v>
      </x:c>
      <x:c r="S460" s="4" t="str">
        <x:v>add项目yj88</x:v>
      </x:c>
      <x:c r="T460" s="4" t="n">
        <x:v>458</x:v>
      </x:c>
      <x:c r="U460" s="4" t="str">
        <x:v>https://github.com/TurboWay/bigdata_analyse</x:v>
      </x:c>
      <x:c r="V460" s="4" t="str">
        <x:v>turboway/bigdata_analyse</x:v>
      </x:c>
    </x:row>
    <x:row r="461" ht="44" customHeight="1">
      <x:c r="A461" s="4" t="n">
        <x:v>456</x:v>
      </x:c>
      <x:c r="B461" s="4" t="str">
        <x:v>cava</x:v>
      </x:c>
      <x:c r="C461" s="4" t="n">
        <x:v>9</x:v>
      </x:c>
      <x:c r="D461" s="4" t="str">
        <x:v>图形、多媒体与实时应用</x:v>
      </x:c>
      <x:c r="E461" s="4" t="str">
        <x:v>本地证据分类</x:v>
      </x:c>
      <x:c r="F461" s="4" t="n">
        <x:v>1</x:v>
      </x:c>
      <x:c r="G461" s="4" t="str">
        <x:v>软件项目</x:v>
      </x:c>
      <x:c r="H461" s="4" t="str">
        <x:v>媒体/图形</x:v>
      </x:c>
      <x:c r="I461" s="4" t="str">
        <x:v>桌面、TUI 与跨端应用</x:v>
      </x:c>
      <x:c r="J461" s="4" t="str">
        <x:v>C/C++</x:v>
      </x:c>
      <x:c r="K461" s="4" t="str">
        <x:v>未获取</x:v>
      </x:c>
      <x:c r="L461" s="4" t="str">
        <x:v>ncurses /FFT</x:v>
      </x:c>
      <x:c r="M461" s="4" t="n">
        <x:v>5</x:v>
      </x:c>
      <x:c r="N461" s="4" t="n">
        <x:v>5</x:v>
      </x:c>
      <x:c r="O461" s="4" t="n">
        <x:v>5</x:v>
      </x:c>
      <x:c r="P461" s="9" t="n">
        <x:v>1</x:v>
      </x:c>
      <x:c r="Q461" s="4"/>
      <x:c r="R461" s="4" t="str">
        <x:v>项目名称/框架的明确功能定位；未逐一在线核验README</x:v>
      </x:c>
      <x:c r="S461" s="4" t="str">
        <x:v>add项目yj88</x:v>
      </x:c>
      <x:c r="T461" s="4" t="n">
        <x:v>459</x:v>
      </x:c>
      <x:c r="U461" s="4" t="str">
        <x:v>https://github.com/karlstav/cava</x:v>
      </x:c>
      <x:c r="V461" s="4" t="str">
        <x:v>karlstav/cava</x:v>
      </x:c>
    </x:row>
    <x:row r="462" ht="44" customHeight="1">
      <x:c r="A462" s="4" t="n">
        <x:v>457</x:v>
      </x:c>
      <x:c r="B462" s="4" t="str">
        <x:v>cmus</x:v>
      </x:c>
      <x:c r="C462" s="4" t="n">
        <x:v>9</x:v>
      </x:c>
      <x:c r="D462" s="4" t="str">
        <x:v>图形、多媒体与实时应用</x:v>
      </x:c>
      <x:c r="E462" s="4" t="str">
        <x:v>本地证据分类</x:v>
      </x:c>
      <x:c r="F462" s="4" t="n">
        <x:v>1</x:v>
      </x:c>
      <x:c r="G462" s="4" t="str">
        <x:v>软件项目</x:v>
      </x:c>
      <x:c r="H462" s="4" t="str">
        <x:v>媒体/图形</x:v>
      </x:c>
      <x:c r="I462" s="4" t="str">
        <x:v>桌面、TUI 与跨端应用</x:v>
      </x:c>
      <x:c r="J462" s="4" t="str">
        <x:v>C/C++</x:v>
      </x:c>
      <x:c r="K462" s="4" t="str">
        <x:v>未获取</x:v>
      </x:c>
      <x:c r="L462" s="4" t="str">
        <x:v>ncurses</x:v>
      </x:c>
      <x:c r="M462" s="4" t="n">
        <x:v>7</x:v>
      </x:c>
      <x:c r="N462" s="4" t="n">
        <x:v>7</x:v>
      </x:c>
      <x:c r="O462" s="4" t="n">
        <x:v>7</x:v>
      </x:c>
      <x:c r="P462" s="9" t="n">
        <x:v>1</x:v>
      </x:c>
      <x:c r="Q462" s="4"/>
      <x:c r="R462" s="4" t="str">
        <x:v>项目名称/框架的明确功能定位；未逐一在线核验README</x:v>
      </x:c>
      <x:c r="S462" s="4" t="str">
        <x:v>add项目yj88</x:v>
      </x:c>
      <x:c r="T462" s="4" t="n">
        <x:v>460</x:v>
      </x:c>
      <x:c r="U462" s="4" t="str">
        <x:v>https://github.com/cmus/cmus</x:v>
      </x:c>
      <x:c r="V462" s="4" t="str">
        <x:v>cmus/cmus</x:v>
      </x:c>
    </x:row>
    <x:row r="463" ht="44" customHeight="1">
      <x:c r="A463" s="4" t="n">
        <x:v>458</x:v>
      </x:c>
      <x:c r="B463" s="4" t="str">
        <x:v>collectd</x:v>
      </x:c>
      <x:c r="C463" s="4" t="n">
        <x:v>15</x:v>
      </x:c>
      <x:c r="D463" s="4" t="str">
        <x:v>部署运维与可观测性</x:v>
      </x:c>
      <x:c r="E463" s="4" t="str">
        <x:v>本地证据分类</x:v>
      </x:c>
      <x:c r="F463" s="4" t="n">
        <x:v>1</x:v>
      </x:c>
      <x:c r="G463" s="4" t="str">
        <x:v>软件项目</x:v>
      </x:c>
      <x:c r="H463" s="4" t="str">
        <x:v>运维/可观测性</x:v>
      </x:c>
      <x:c r="I463" s="4" t="str">
        <x:v>数据库、存储与中间件</x:v>
      </x:c>
      <x:c r="J463" s="4" t="str">
        <x:v>C/C++</x:v>
      </x:c>
      <x:c r="K463" s="4" t="str">
        <x:v>未获取</x:v>
      </x:c>
      <x:c r="L463" s="4" t="str">
        <x:v>自研 /liboping</x:v>
      </x:c>
      <x:c r="M463" s="4" t="n">
        <x:v>5</x:v>
      </x:c>
      <x:c r="N463" s="4" t="n">
        <x:v>5</x:v>
      </x:c>
      <x:c r="O463" s="4" t="n">
        <x:v>4</x:v>
      </x:c>
      <x:c r="P463" s="9" t="n">
        <x:v>0.8</x:v>
      </x:c>
      <x:c r="Q463" s="4"/>
      <x:c r="R463" s="4" t="str">
        <x:v>项目名称/框架的明确功能定位；未逐一在线核验README</x:v>
      </x:c>
      <x:c r="S463" s="4" t="str">
        <x:v>add项目yj88</x:v>
      </x:c>
      <x:c r="T463" s="4" t="n">
        <x:v>461</x:v>
      </x:c>
      <x:c r="U463" s="4" t="str">
        <x:v>https://github.com/collectd/collectd</x:v>
      </x:c>
      <x:c r="V463" s="4" t="str">
        <x:v>collectd/collectd</x:v>
      </x:c>
    </x:row>
    <x:row r="464" ht="44" customHeight="1">
      <x:c r="A464" s="4" t="n">
        <x:v>459</x:v>
      </x:c>
      <x:c r="B464" s="4" t="str">
        <x:v>datahub-flink-clickhouse</x:v>
      </x:c>
      <x:c r="C464" s="4" t="n">
        <x:v>8</x:v>
      </x:c>
      <x:c r="D464" s="4" t="str">
        <x:v>数据处理与科学计算</x:v>
      </x:c>
      <x:c r="E464" s="4" t="str">
        <x:v>本地证据分类</x:v>
      </x:c>
      <x:c r="F464" s="4" t="n">
        <x:v>1</x:v>
      </x:c>
      <x:c r="G464" s="4" t="str">
        <x:v>软件项目</x:v>
      </x:c>
      <x:c r="H464" s="4" t="str">
        <x:v>数据/行业分析</x:v>
      </x:c>
      <x:c r="I464" s="4" t="str">
        <x:v>数据库、存储与中间件</x:v>
      </x:c>
      <x:c r="J464" s="4" t="str">
        <x:v>Java</x:v>
      </x:c>
      <x:c r="K464" s="4" t="str">
        <x:v>未获取</x:v>
      </x:c>
      <x:c r="L464" s="4" t="str">
        <x:v>Flink / ClickHouse</x:v>
      </x:c>
      <x:c r="M464" s="4" t="n">
        <x:v>8</x:v>
      </x:c>
      <x:c r="N464" s="4" t="n">
        <x:v>8</x:v>
      </x:c>
      <x:c r="O464" s="4" t="n">
        <x:v>1</x:v>
      </x:c>
      <x:c r="P464" s="9" t="n">
        <x:v>0.125</x:v>
      </x:c>
      <x:c r="Q464" s="4"/>
      <x:c r="R464" s="4" t="str">
        <x:v>项目名称/框架的明确功能定位；未逐一在线核验README</x:v>
      </x:c>
      <x:c r="S464" s="4" t="str">
        <x:v>add项目yj88</x:v>
      </x:c>
      <x:c r="T464" s="4" t="n">
        <x:v>462</x:v>
      </x:c>
      <x:c r="U464" s="4" t="str">
        <x:v>https://github.com/poemp/datahub-flink-clickhouse</x:v>
      </x:c>
      <x:c r="V464" s="4" t="str">
        <x:v>poemp/datahub-flink-clickhouse</x:v>
      </x:c>
    </x:row>
    <x:row r="465" ht="44" customHeight="1">
      <x:c r="A465" s="4" t="n">
        <x:v>460</x:v>
      </x:c>
      <x:c r="B465" s="4" t="str">
        <x:v>django-oscar</x:v>
      </x:c>
      <x:c r="C465" s="4" t="n">
        <x:v>6</x:v>
      </x:c>
      <x:c r="D465" s="4" t="str">
        <x:v>后端服务与业务流程</x:v>
      </x:c>
      <x:c r="E465" s="4" t="str">
        <x:v>本地证据分类</x:v>
      </x:c>
      <x:c r="F465" s="4" t="n">
        <x:v>1</x:v>
      </x:c>
      <x:c r="G465" s="4" t="str">
        <x:v>软件项目</x:v>
      </x:c>
      <x:c r="H465" s="4" t="str">
        <x:v>业务应用/确定性工作流</x:v>
      </x:c>
      <x:c r="I465" s="4" t="str">
        <x:v>Web 与业务服务</x:v>
      </x:c>
      <x:c r="J465" s="4" t="str">
        <x:v>Python</x:v>
      </x:c>
      <x:c r="K465" s="4" t="str">
        <x:v>未获取</x:v>
      </x:c>
      <x:c r="L465" s="4" t="str">
        <x:v>Django</x:v>
      </x:c>
      <x:c r="M465" s="4" t="n">
        <x:v>5</x:v>
      </x:c>
      <x:c r="N465" s="4" t="n">
        <x:v>5</x:v>
      </x:c>
      <x:c r="O465" s="4" t="n">
        <x:v>0</x:v>
      </x:c>
      <x:c r="P465" s="9" t="n">
        <x:v>0</x:v>
      </x:c>
      <x:c r="Q465" s="4"/>
      <x:c r="R465" s="4" t="str">
        <x:v>项目名称/框架的明确功能定位；未逐一在线核验README</x:v>
      </x:c>
      <x:c r="S465" s="4" t="str">
        <x:v>add项目yj88</x:v>
      </x:c>
      <x:c r="T465" s="4" t="n">
        <x:v>463</x:v>
      </x:c>
      <x:c r="U465" s="4" t="str">
        <x:v>https://github.com/django-oscar/django-oscar</x:v>
      </x:c>
      <x:c r="V465" s="4" t="str">
        <x:v>django-oscar/django-oscar</x:v>
      </x:c>
    </x:row>
    <x:row r="466" ht="44" customHeight="1">
      <x:c r="A466" s="4" t="n">
        <x:v>461</x:v>
      </x:c>
      <x:c r="B466" s="4" t="str">
        <x:v>fastfetch</x:v>
      </x:c>
      <x:c r="C466" s="4" t="n">
        <x:v>15</x:v>
      </x:c>
      <x:c r="D466" s="4" t="str">
        <x:v>部署运维与可观测性</x:v>
      </x:c>
      <x:c r="E466" s="4" t="str">
        <x:v>本地证据分类</x:v>
      </x:c>
      <x:c r="F466" s="4" t="n">
        <x:v>1</x:v>
      </x:c>
      <x:c r="G466" s="4" t="str">
        <x:v>软件项目</x:v>
      </x:c>
      <x:c r="H466" s="4" t="str">
        <x:v>运维/可观测性</x:v>
      </x:c>
      <x:c r="I466" s="4" t="str">
        <x:v>多媒体与图形</x:v>
      </x:c>
      <x:c r="J466" s="4" t="str">
        <x:v>C/C++</x:v>
      </x:c>
      <x:c r="K466" s="4" t="str">
        <x:v>未获取</x:v>
      </x:c>
      <x:c r="L466" s="4" t="str">
        <x:v>JSON-C /自研</x:v>
      </x:c>
      <x:c r="M466" s="4" t="n">
        <x:v>5</x:v>
      </x:c>
      <x:c r="N466" s="4" t="n">
        <x:v>5</x:v>
      </x:c>
      <x:c r="O466" s="4" t="n">
        <x:v>5</x:v>
      </x:c>
      <x:c r="P466" s="9" t="n">
        <x:v>1</x:v>
      </x:c>
      <x:c r="Q466" s="4"/>
      <x:c r="R466" s="4" t="str">
        <x:v>项目名称/框架的明确功能定位；未逐一在线核验README</x:v>
      </x:c>
      <x:c r="S466" s="4" t="str">
        <x:v>add项目yj88</x:v>
      </x:c>
      <x:c r="T466" s="4" t="n">
        <x:v>464</x:v>
      </x:c>
      <x:c r="U466" s="4" t="str">
        <x:v>https://github.com/fastfetch-cli/fastfetch</x:v>
      </x:c>
      <x:c r="V466" s="4" t="str">
        <x:v>fastfetch-cli/fastfetch</x:v>
      </x:c>
    </x:row>
    <x:row r="467" ht="44" customHeight="1">
      <x:c r="A467" s="4" t="n">
        <x:v>462</x:v>
      </x:c>
      <x:c r="B467" s="4" t="str">
        <x:v>findtrip</x:v>
      </x:c>
      <x:c r="C467" s="4" t="n">
        <x:v>12</x:v>
      </x:c>
      <x:c r="D467" s="4" t="str">
        <x:v>办公软件与桌面操作自动化</x:v>
      </x:c>
      <x:c r="E467" s="4" t="str">
        <x:v>本地证据分类</x:v>
      </x:c>
      <x:c r="F467" s="4" t="n">
        <x:v>1</x:v>
      </x:c>
      <x:c r="G467" s="4" t="str">
        <x:v>软件项目</x:v>
      </x:c>
      <x:c r="H467" s="4" t="str">
        <x:v>办公/浏览器执行</x:v>
      </x:c>
      <x:c r="I467" s="4" t="str">
        <x:v>浏览器自动化与数据采集</x:v>
      </x:c>
      <x:c r="J467" s="4" t="str">
        <x:v>Python</x:v>
      </x:c>
      <x:c r="K467" s="4" t="str">
        <x:v>未获取</x:v>
      </x:c>
      <x:c r="L467" s="4" t="str">
        <x:v>Scrapy</x:v>
      </x:c>
      <x:c r="M467" s="4" t="n">
        <x:v>3</x:v>
      </x:c>
      <x:c r="N467" s="4" t="n">
        <x:v>3</x:v>
      </x:c>
      <x:c r="O467" s="4" t="n">
        <x:v>2</x:v>
      </x:c>
      <x:c r="P467" s="9" t="n">
        <x:v>0.6666666666666666</x:v>
      </x:c>
      <x:c r="Q467" s="4"/>
      <x:c r="R467" s="4" t="str">
        <x:v>项目名称/框架的明确功能定位；未逐一在线核验README</x:v>
      </x:c>
      <x:c r="S467" s="4" t="str">
        <x:v>add项目yj88</x:v>
      </x:c>
      <x:c r="T467" s="4" t="n">
        <x:v>465</x:v>
      </x:c>
      <x:c r="U467" s="4" t="str">
        <x:v>https://github.com/fankcoder/findtrip（https://github.com/Suysker/Ctrip-Crawler）</x:v>
      </x:c>
      <x:c r="V467" s="4" t="str">
        <x:v>fankcoder/findtrip（https://github.com/suysker/ctrip-crawler）</x:v>
      </x:c>
    </x:row>
    <x:row r="468" ht="44" customHeight="1">
      <x:c r="A468" s="4" t="n">
        <x:v>463</x:v>
      </x:c>
      <x:c r="B468" s="4" t="str">
        <x:v>full-stack-fastapi-template</x:v>
      </x:c>
      <x:c r="C468" s="4" t="n">
        <x:v>6</x:v>
      </x:c>
      <x:c r="D468" s="4" t="str">
        <x:v>后端服务与业务流程</x:v>
      </x:c>
      <x:c r="E468" s="4" t="str">
        <x:v>本地证据分类</x:v>
      </x:c>
      <x:c r="F468" s="4" t="n">
        <x:v>1</x:v>
      </x:c>
      <x:c r="G468" s="4" t="str">
        <x:v>软件项目</x:v>
      </x:c>
      <x:c r="H468" s="4" t="str">
        <x:v>业务应用</x:v>
      </x:c>
      <x:c r="I468" s="4" t="str">
        <x:v>Web 与业务服务</x:v>
      </x:c>
      <x:c r="J468" s="4" t="str">
        <x:v>Python</x:v>
      </x:c>
      <x:c r="K468" s="4" t="str">
        <x:v>未获取</x:v>
      </x:c>
      <x:c r="L468" s="4" t="str">
        <x:v>FastAPI</x:v>
      </x:c>
      <x:c r="M468" s="4" t="n">
        <x:v>6</x:v>
      </x:c>
      <x:c r="N468" s="4" t="n">
        <x:v>6</x:v>
      </x:c>
      <x:c r="O468" s="4" t="n">
        <x:v>4</x:v>
      </x:c>
      <x:c r="P468" s="9" t="n">
        <x:v>0.6666666666666666</x:v>
      </x:c>
      <x:c r="Q468" s="4"/>
      <x:c r="R468" s="4" t="str">
        <x:v>项目名称/框架的明确功能定位；未逐一在线核验README</x:v>
      </x:c>
      <x:c r="S468" s="4" t="str">
        <x:v>add项目yj88</x:v>
      </x:c>
      <x:c r="T468" s="4" t="n">
        <x:v>466</x:v>
      </x:c>
      <x:c r="U468" s="4" t="str">
        <x:v>https://github.com/tiangolo/full-stack-fastapi-template</x:v>
      </x:c>
      <x:c r="V468" s="4" t="str">
        <x:v>tiangolo/full-stack-fastapi-template</x:v>
      </x:c>
    </x:row>
    <x:row r="469" ht="44" customHeight="1">
      <x:c r="A469" s="4" t="n">
        <x:v>464</x:v>
      </x:c>
      <x:c r="B469" s="4" t="str">
        <x:v>gifsicle</x:v>
      </x:c>
      <x:c r="C469" s="4" t="n">
        <x:v>9</x:v>
      </x:c>
      <x:c r="D469" s="4" t="str">
        <x:v>图形、多媒体与实时应用</x:v>
      </x:c>
      <x:c r="E469" s="4" t="str">
        <x:v>本地证据分类</x:v>
      </x:c>
      <x:c r="F469" s="4" t="n">
        <x:v>1</x:v>
      </x:c>
      <x:c r="G469" s="4" t="str">
        <x:v>软件项目</x:v>
      </x:c>
      <x:c r="H469" s="4" t="str">
        <x:v>媒体/图形</x:v>
      </x:c>
      <x:c r="I469" s="4" t="str">
        <x:v>行业与其他应用</x:v>
      </x:c>
      <x:c r="J469" s="4" t="str">
        <x:v>C/C++</x:v>
      </x:c>
      <x:c r="K469" s="4" t="str">
        <x:v>未获取</x:v>
      </x:c>
      <x:c r="L469" s="4" t="str">
        <x:v>自研</x:v>
      </x:c>
      <x:c r="M469" s="4" t="n">
        <x:v>2</x:v>
      </x:c>
      <x:c r="N469" s="4" t="n">
        <x:v>2</x:v>
      </x:c>
      <x:c r="O469" s="4" t="n">
        <x:v>2</x:v>
      </x:c>
      <x:c r="P469" s="9" t="n">
        <x:v>1</x:v>
      </x:c>
      <x:c r="Q469" s="4"/>
      <x:c r="R469" s="4" t="str">
        <x:v>项目名称/框架的明确功能定位；未逐一在线核验README</x:v>
      </x:c>
      <x:c r="S469" s="4" t="str">
        <x:v>add项目yj88</x:v>
      </x:c>
      <x:c r="T469" s="4" t="n">
        <x:v>467</x:v>
      </x:c>
      <x:c r="U469" s="4" t="str">
        <x:v>https://github.com/kohler/gifsicle</x:v>
      </x:c>
      <x:c r="V469" s="4" t="str">
        <x:v>kohler/gifsicle</x:v>
      </x:c>
    </x:row>
    <x:row r="470" ht="44" customHeight="1">
      <x:c r="A470" s="4" t="n">
        <x:v>465</x:v>
      </x:c>
      <x:c r="B470" s="4" t="str">
        <x:v>htop</x:v>
      </x:c>
      <x:c r="C470" s="4" t="n">
        <x:v>15</x:v>
      </x:c>
      <x:c r="D470" s="4" t="str">
        <x:v>部署运维与可观测性</x:v>
      </x:c>
      <x:c r="E470" s="4" t="str">
        <x:v>本地证据分类</x:v>
      </x:c>
      <x:c r="F470" s="4" t="n">
        <x:v>1</x:v>
      </x:c>
      <x:c r="G470" s="4" t="str">
        <x:v>软件项目</x:v>
      </x:c>
      <x:c r="H470" s="4" t="str">
        <x:v>运维/可观测性</x:v>
      </x:c>
      <x:c r="I470" s="4" t="str">
        <x:v>桌面、TUI 与跨端应用</x:v>
      </x:c>
      <x:c r="J470" s="4" t="str">
        <x:v>C/C++</x:v>
      </x:c>
      <x:c r="K470" s="4" t="str">
        <x:v>未获取</x:v>
      </x:c>
      <x:c r="L470" s="4" t="str">
        <x:v>ncurses</x:v>
      </x:c>
      <x:c r="M470" s="4" t="n">
        <x:v>4</x:v>
      </x:c>
      <x:c r="N470" s="4" t="n">
        <x:v>4</x:v>
      </x:c>
      <x:c r="O470" s="4" t="n">
        <x:v>3</x:v>
      </x:c>
      <x:c r="P470" s="9" t="n">
        <x:v>0.75</x:v>
      </x:c>
      <x:c r="Q470" s="4"/>
      <x:c r="R470" s="4" t="str">
        <x:v>项目名称/框架的明确功能定位；未逐一在线核验README</x:v>
      </x:c>
      <x:c r="S470" s="4" t="str">
        <x:v>add项目yj88</x:v>
      </x:c>
      <x:c r="T470" s="4" t="n">
        <x:v>468</x:v>
      </x:c>
      <x:c r="U470" s="4" t="str">
        <x:v>https://github.com/htop-dev/htop</x:v>
      </x:c>
      <x:c r="V470" s="4" t="str">
        <x:v>htop-dev/htop</x:v>
      </x:c>
    </x:row>
    <x:row r="471" ht="44" customHeight="1">
      <x:c r="A471" s="4" t="n">
        <x:v>466</x:v>
      </x:c>
      <x:c r="B471" s="4" t="str">
        <x:v>jq</x:v>
      </x:c>
      <x:c r="C471" s="4" t="n">
        <x:v>1</x:v>
      </x:c>
      <x:c r="D471" s="4" t="str">
        <x:v>基础编程与通用工具</x:v>
      </x:c>
      <x:c r="E471" s="4" t="str">
        <x:v>本地证据分类</x:v>
      </x:c>
      <x:c r="F471" s="4" t="n">
        <x:v>1</x:v>
      </x:c>
      <x:c r="G471" s="4" t="str">
        <x:v>软件项目</x:v>
      </x:c>
      <x:c r="H471" s="4" t="str"/>
      <x:c r="I471" s="4" t="str">
        <x:v>行业与其他应用</x:v>
      </x:c>
      <x:c r="J471" s="4" t="str">
        <x:v>C/C++</x:v>
      </x:c>
      <x:c r="K471" s="4" t="str">
        <x:v>未获取</x:v>
      </x:c>
      <x:c r="L471" s="4" t="str">
        <x:v>自研 /libjq</x:v>
      </x:c>
      <x:c r="M471" s="4" t="n">
        <x:v>2</x:v>
      </x:c>
      <x:c r="N471" s="4" t="n">
        <x:v>2</x:v>
      </x:c>
      <x:c r="O471" s="4" t="n">
        <x:v>2</x:v>
      </x:c>
      <x:c r="P471" s="9" t="n">
        <x:v>1</x:v>
      </x:c>
      <x:c r="Q471" s="4"/>
      <x:c r="R471" s="4" t="str">
        <x:v>项目名称/框架的明确功能定位；未逐一在线核验README</x:v>
      </x:c>
      <x:c r="S471" s="4" t="str">
        <x:v>add项目yj88</x:v>
      </x:c>
      <x:c r="T471" s="4" t="n">
        <x:v>469</x:v>
      </x:c>
      <x:c r="U471" s="4" t="str">
        <x:v>https://github.com/stedolan/jq</x:v>
      </x:c>
      <x:c r="V471" s="4" t="str">
        <x:v>stedolan/jq</x:v>
      </x:c>
    </x:row>
    <x:row r="472" ht="44" customHeight="1">
      <x:c r="A472" s="4" t="n">
        <x:v>467</x:v>
      </x:c>
      <x:c r="B472" s="4" t="str">
        <x:v>k8s-terraform-ansible-sample</x:v>
      </x:c>
      <x:c r="C472" s="4" t="n">
        <x:v>15</x:v>
      </x:c>
      <x:c r="D472" s="4" t="str">
        <x:v>部署运维与可观测性</x:v>
      </x:c>
      <x:c r="E472" s="4" t="str">
        <x:v>本地证据分类</x:v>
      </x:c>
      <x:c r="F472" s="4" t="n">
        <x:v>1</x:v>
      </x:c>
      <x:c r="G472" s="4" t="str">
        <x:v>软件项目</x:v>
      </x:c>
      <x:c r="H472" s="4" t="str">
        <x:v>运维/可观测性</x:v>
      </x:c>
      <x:c r="I472" s="4" t="str">
        <x:v>云原生、运维与安全</x:v>
      </x:c>
      <x:c r="J472" s="4" t="str">
        <x:v>Python</x:v>
      </x:c>
      <x:c r="K472" s="4" t="str">
        <x:v>未获取</x:v>
      </x:c>
      <x:c r="L472" s="4" t="str">
        <x:v>Ansible / Terraform</x:v>
      </x:c>
      <x:c r="M472" s="4" t="n">
        <x:v>5</x:v>
      </x:c>
      <x:c r="N472" s="4" t="n">
        <x:v>5</x:v>
      </x:c>
      <x:c r="O472" s="4" t="n">
        <x:v>2</x:v>
      </x:c>
      <x:c r="P472" s="9" t="n">
        <x:v>0.4</x:v>
      </x:c>
      <x:c r="Q472" s="4"/>
      <x:c r="R472" s="4" t="str">
        <x:v>项目名称/框架的明确功能定位；未逐一在线核验README</x:v>
      </x:c>
      <x:c r="S472" s="4" t="str">
        <x:v>add项目yj88</x:v>
      </x:c>
      <x:c r="T472" s="4" t="n">
        <x:v>470</x:v>
      </x:c>
      <x:c r="U472" s="4" t="str">
        <x:v>https://github.com/opencredo/k8s-terraform-ansible-sample</x:v>
      </x:c>
      <x:c r="V472" s="4" t="str">
        <x:v>opencredo/k8s-terraform-ansible-sample</x:v>
      </x:c>
    </x:row>
    <x:row r="473" ht="44" customHeight="1">
      <x:c r="A473" s="4" t="n">
        <x:v>468</x:v>
      </x:c>
      <x:c r="B473" s="4" t="str">
        <x:v>libqalculate (qalc)</x:v>
      </x:c>
      <x:c r="C473" s="4" t="n">
        <x:v>1</x:v>
      </x:c>
      <x:c r="D473" s="4" t="str">
        <x:v>基础编程与通用工具</x:v>
      </x:c>
      <x:c r="E473" s="4" t="str">
        <x:v>本地证据分类</x:v>
      </x:c>
      <x:c r="F473" s="4" t="n">
        <x:v>1</x:v>
      </x:c>
      <x:c r="G473" s="4" t="str">
        <x:v>软件项目</x:v>
      </x:c>
      <x:c r="H473" s="4" t="str"/>
      <x:c r="I473" s="4" t="str">
        <x:v>行业与其他应用</x:v>
      </x:c>
      <x:c r="J473" s="4" t="str">
        <x:v>C/C++</x:v>
      </x:c>
      <x:c r="K473" s="4" t="str">
        <x:v>未获取</x:v>
      </x:c>
      <x:c r="L473" s="4" t="str">
        <x:v>自研 /libxml2</x:v>
      </x:c>
      <x:c r="M473" s="4" t="n">
        <x:v>4</x:v>
      </x:c>
      <x:c r="N473" s="4" t="n">
        <x:v>4</x:v>
      </x:c>
      <x:c r="O473" s="4" t="n">
        <x:v>4</x:v>
      </x:c>
      <x:c r="P473" s="9" t="n">
        <x:v>1</x:v>
      </x:c>
      <x:c r="Q473" s="4"/>
      <x:c r="R473" s="4" t="str">
        <x:v>项目名称/框架的明确功能定位；未逐一在线核验README</x:v>
      </x:c>
      <x:c r="S473" s="4" t="str">
        <x:v>add项目yj88</x:v>
      </x:c>
      <x:c r="T473" s="4" t="n">
        <x:v>471</x:v>
      </x:c>
      <x:c r="U473" s="4" t="str">
        <x:v>https://github.com/Qalculate/libqalculate</x:v>
      </x:c>
      <x:c r="V473" s="4" t="str">
        <x:v>qalculate/libqalculate</x:v>
      </x:c>
    </x:row>
    <x:row r="474" ht="44" customHeight="1">
      <x:c r="A474" s="4" t="n">
        <x:v>469</x:v>
      </x:c>
      <x:c r="B474" s="4" t="str">
        <x:v>mall</x:v>
      </x:c>
      <x:c r="C474" s="4" t="n">
        <x:v>6</x:v>
      </x:c>
      <x:c r="D474" s="4" t="str">
        <x:v>后端服务与业务流程</x:v>
      </x:c>
      <x:c r="E474" s="4" t="str">
        <x:v>本地证据分类</x:v>
      </x:c>
      <x:c r="F474" s="4" t="n">
        <x:v>1</x:v>
      </x:c>
      <x:c r="G474" s="4" t="str">
        <x:v>软件项目</x:v>
      </x:c>
      <x:c r="H474" s="4" t="str">
        <x:v>业务应用/确定性工作流</x:v>
      </x:c>
      <x:c r="I474" s="4" t="str">
        <x:v>数据库、存储与中间件</x:v>
      </x:c>
      <x:c r="J474" s="4" t="str">
        <x:v>Java</x:v>
      </x:c>
      <x:c r="K474" s="4" t="str">
        <x:v>未获取</x:v>
      </x:c>
      <x:c r="L474" s="4" t="str">
        <x:v>Spring Boot / MyBatis</x:v>
      </x:c>
      <x:c r="M474" s="4" t="n">
        <x:v>12</x:v>
      </x:c>
      <x:c r="N474" s="4" t="n">
        <x:v>12</x:v>
      </x:c>
      <x:c r="O474" s="4" t="n">
        <x:v>1</x:v>
      </x:c>
      <x:c r="P474" s="9" t="n">
        <x:v>0.08333333333333333</x:v>
      </x:c>
      <x:c r="Q474" s="4"/>
      <x:c r="R474" s="4" t="str">
        <x:v>项目名称/框架的明确功能定位；未逐一在线核验README</x:v>
      </x:c>
      <x:c r="S474" s="4" t="str">
        <x:v>add项目yj88</x:v>
      </x:c>
      <x:c r="T474" s="4" t="n">
        <x:v>472</x:v>
      </x:c>
      <x:c r="U474" s="4" t="str">
        <x:v>https://github.com/macrozheng/mall</x:v>
      </x:c>
      <x:c r="V474" s="4" t="str">
        <x:v>macrozheng/mall</x:v>
      </x:c>
    </x:row>
    <x:row r="475" ht="44" customHeight="1">
      <x:c r="A475" s="4" t="n">
        <x:v>470</x:v>
      </x:c>
      <x:c r="B475" s="4" t="str">
        <x:v>mall-swarm</x:v>
      </x:c>
      <x:c r="C475" s="4" t="n">
        <x:v>6</x:v>
      </x:c>
      <x:c r="D475" s="4" t="str">
        <x:v>后端服务与业务流程</x:v>
      </x:c>
      <x:c r="E475" s="4" t="str">
        <x:v>本地证据分类</x:v>
      </x:c>
      <x:c r="F475" s="4" t="n">
        <x:v>1</x:v>
      </x:c>
      <x:c r="G475" s="4" t="str">
        <x:v>软件项目</x:v>
      </x:c>
      <x:c r="H475" s="4" t="str">
        <x:v>业务应用/确定性工作流</x:v>
      </x:c>
      <x:c r="I475" s="4" t="str">
        <x:v>云原生、运维与安全</x:v>
      </x:c>
      <x:c r="J475" s="4" t="str">
        <x:v>Java</x:v>
      </x:c>
      <x:c r="K475" s="4" t="str">
        <x:v>未获取</x:v>
      </x:c>
      <x:c r="L475" s="4" t="str">
        <x:v>Spring Cloud Alibaba</x:v>
      </x:c>
      <x:c r="M475" s="4" t="n">
        <x:v>9</x:v>
      </x:c>
      <x:c r="N475" s="4" t="n">
        <x:v>9</x:v>
      </x:c>
      <x:c r="O475" s="4" t="n">
        <x:v>1</x:v>
      </x:c>
      <x:c r="P475" s="9" t="n">
        <x:v>0.1111111111111111</x:v>
      </x:c>
      <x:c r="Q475" s="4"/>
      <x:c r="R475" s="4" t="str">
        <x:v>项目名称/框架的明确功能定位；未逐一在线核验README</x:v>
      </x:c>
      <x:c r="S475" s="4" t="str">
        <x:v>add项目yj88</x:v>
      </x:c>
      <x:c r="T475" s="4" t="n">
        <x:v>473</x:v>
      </x:c>
      <x:c r="U475" s="4" t="str">
        <x:v>https://github.com/macrozheng/mall-swarm</x:v>
      </x:c>
      <x:c r="V475" s="4" t="str">
        <x:v>macrozheng/mall-swarm</x:v>
      </x:c>
    </x:row>
    <x:row r="476" ht="44" customHeight="1">
      <x:c r="A476" s="4" t="n">
        <x:v>471</x:v>
      </x:c>
      <x:c r="B476" s="4" t="str">
        <x:v>mc (Midnight Commander)</x:v>
      </x:c>
      <x:c r="C476" s="4" t="n">
        <x:v>2</x:v>
      </x:c>
      <x:c r="D476" s="4" t="str">
        <x:v>系统资源与原生互操作</x:v>
      </x:c>
      <x:c r="E476" s="4" t="str">
        <x:v>本地证据分类</x:v>
      </x:c>
      <x:c r="F476" s="4" t="n">
        <x:v>1</x:v>
      </x:c>
      <x:c r="G476" s="4" t="str">
        <x:v>软件项目</x:v>
      </x:c>
      <x:c r="H476" s="4" t="str">
        <x:v>原生/系统接口</x:v>
      </x:c>
      <x:c r="I476" s="4" t="str">
        <x:v>桌面、TUI 与跨端应用</x:v>
      </x:c>
      <x:c r="J476" s="4" t="str">
        <x:v>C/C++</x:v>
      </x:c>
      <x:c r="K476" s="4" t="str">
        <x:v>未获取</x:v>
      </x:c>
      <x:c r="L476" s="4" t="str">
        <x:v>ncurses</x:v>
      </x:c>
      <x:c r="M476" s="4" t="n">
        <x:v>5</x:v>
      </x:c>
      <x:c r="N476" s="4" t="n">
        <x:v>5</x:v>
      </x:c>
      <x:c r="O476" s="4" t="n">
        <x:v>5</x:v>
      </x:c>
      <x:c r="P476" s="9" t="n">
        <x:v>1</x:v>
      </x:c>
      <x:c r="Q476" s="4"/>
      <x:c r="R476" s="4" t="str">
        <x:v>项目名称/框架的明确功能定位；未逐一在线核验README</x:v>
      </x:c>
      <x:c r="S476" s="4" t="str">
        <x:v>add项目yj88</x:v>
      </x:c>
      <x:c r="T476" s="4" t="n">
        <x:v>474</x:v>
      </x:c>
      <x:c r="U476" s="4" t="str">
        <x:v>https://github.com/MidnightCommander/mc</x:v>
      </x:c>
      <x:c r="V476" s="4" t="str">
        <x:v>midnightcommander/mc</x:v>
      </x:c>
    </x:row>
    <x:row r="477" ht="44" customHeight="1">
      <x:c r="A477" s="4" t="n">
        <x:v>472</x:v>
      </x:c>
      <x:c r="B477" s="4" t="str">
        <x:v>mg</x:v>
      </x:c>
      <x:c r="C477" s="4" t="n">
        <x:v>2</x:v>
      </x:c>
      <x:c r="D477" s="4" t="str">
        <x:v>系统资源与原生互操作</x:v>
      </x:c>
      <x:c r="E477" s="4" t="str">
        <x:v>本地证据分类</x:v>
      </x:c>
      <x:c r="F477" s="4" t="n">
        <x:v>1</x:v>
      </x:c>
      <x:c r="G477" s="4" t="str">
        <x:v>软件项目</x:v>
      </x:c>
      <x:c r="H477" s="4" t="str">
        <x:v>原生/系统接口</x:v>
      </x:c>
      <x:c r="I477" s="4" t="str">
        <x:v>桌面、TUI 与跨端应用</x:v>
      </x:c>
      <x:c r="J477" s="4" t="str">
        <x:v>C/C++</x:v>
      </x:c>
      <x:c r="K477" s="4" t="str">
        <x:v>未获取</x:v>
      </x:c>
      <x:c r="L477" s="4" t="str">
        <x:v>ncurses</x:v>
      </x:c>
      <x:c r="M477" s="4" t="n">
        <x:v>1</x:v>
      </x:c>
      <x:c r="N477" s="4" t="n">
        <x:v>1</x:v>
      </x:c>
      <x:c r="O477" s="4" t="n">
        <x:v>1</x:v>
      </x:c>
      <x:c r="P477" s="9" t="n">
        <x:v>1</x:v>
      </x:c>
      <x:c r="Q477" s="4"/>
      <x:c r="R477" s="4" t="str">
        <x:v>项目名称/框架的明确功能定位；未逐一在线核验README</x:v>
      </x:c>
      <x:c r="S477" s="4" t="str">
        <x:v>add项目yj88</x:v>
      </x:c>
      <x:c r="T477" s="4" t="n">
        <x:v>475</x:v>
      </x:c>
      <x:c r="U477" s="4" t="str">
        <x:v>https://github.com/troglobit/mg</x:v>
      </x:c>
      <x:c r="V477" s="4" t="str">
        <x:v>troglobit/mg</x:v>
      </x:c>
    </x:row>
    <x:row r="478" ht="44" customHeight="1">
      <x:c r="A478" s="4" t="n">
        <x:v>473</x:v>
      </x:c>
      <x:c r="B478" s="4" t="str">
        <x:v>ncdu</x:v>
      </x:c>
      <x:c r="C478" s="4" t="n">
        <x:v>2</x:v>
      </x:c>
      <x:c r="D478" s="4" t="str">
        <x:v>系统资源与原生互操作</x:v>
      </x:c>
      <x:c r="E478" s="4" t="str">
        <x:v>本地证据分类</x:v>
      </x:c>
      <x:c r="F478" s="4" t="n">
        <x:v>1</x:v>
      </x:c>
      <x:c r="G478" s="4" t="str">
        <x:v>软件项目</x:v>
      </x:c>
      <x:c r="H478" s="4" t="str">
        <x:v>原生/系统接口</x:v>
      </x:c>
      <x:c r="I478" s="4" t="str">
        <x:v>桌面、TUI 与跨端应用</x:v>
      </x:c>
      <x:c r="J478" s="4" t="str">
        <x:v>C/C++</x:v>
      </x:c>
      <x:c r="K478" s="4" t="str">
        <x:v>未获取</x:v>
      </x:c>
      <x:c r="L478" s="4" t="str">
        <x:v>ncurses</x:v>
      </x:c>
      <x:c r="M478" s="4" t="n">
        <x:v>2</x:v>
      </x:c>
      <x:c r="N478" s="4" t="n">
        <x:v>2</x:v>
      </x:c>
      <x:c r="O478" s="4" t="n">
        <x:v>2</x:v>
      </x:c>
      <x:c r="P478" s="9" t="n">
        <x:v>1</x:v>
      </x:c>
      <x:c r="Q478" s="4"/>
      <x:c r="R478" s="4" t="str">
        <x:v>项目名称/框架的明确功能定位；未逐一在线核验README</x:v>
      </x:c>
      <x:c r="S478" s="4" t="str">
        <x:v>add项目yj88</x:v>
      </x:c>
      <x:c r="T478" s="4" t="n">
        <x:v>476</x:v>
      </x:c>
      <x:c r="U478" s="4" t="str">
        <x:v>https://github.com/leosamudas/ncdu</x:v>
      </x:c>
      <x:c r="V478" s="4" t="str">
        <x:v>leosamudas/ncdu</x:v>
      </x:c>
    </x:row>
    <x:row r="479" ht="44" customHeight="1">
      <x:c r="A479" s="4" t="n">
        <x:v>474</x:v>
      </x:c>
      <x:c r="B479" s="4" t="str">
        <x:v>ncmpcpp</x:v>
      </x:c>
      <x:c r="C479" s="4" t="n">
        <x:v>9</x:v>
      </x:c>
      <x:c r="D479" s="4" t="str">
        <x:v>图形、多媒体与实时应用</x:v>
      </x:c>
      <x:c r="E479" s="4" t="str">
        <x:v>本地证据分类</x:v>
      </x:c>
      <x:c r="F479" s="4" t="n">
        <x:v>1</x:v>
      </x:c>
      <x:c r="G479" s="4" t="str">
        <x:v>软件项目</x:v>
      </x:c>
      <x:c r="H479" s="4" t="str">
        <x:v>媒体/图形</x:v>
      </x:c>
      <x:c r="I479" s="4" t="str">
        <x:v>桌面、TUI 与跨端应用</x:v>
      </x:c>
      <x:c r="J479" s="4" t="str">
        <x:v>C/C++</x:v>
      </x:c>
      <x:c r="K479" s="4" t="str">
        <x:v>未获取</x:v>
      </x:c>
      <x:c r="L479" s="4" t="str">
        <x:v>ncurses /libmpdclient</x:v>
      </x:c>
      <x:c r="M479" s="4" t="n">
        <x:v>5</x:v>
      </x:c>
      <x:c r="N479" s="4" t="n">
        <x:v>5</x:v>
      </x:c>
      <x:c r="O479" s="4" t="n">
        <x:v>5</x:v>
      </x:c>
      <x:c r="P479" s="9" t="n">
        <x:v>1</x:v>
      </x:c>
      <x:c r="Q479" s="4"/>
      <x:c r="R479" s="4" t="str">
        <x:v>项目名称/框架的明确功能定位；未逐一在线核验README</x:v>
      </x:c>
      <x:c r="S479" s="4" t="str">
        <x:v>add项目yj88</x:v>
      </x:c>
      <x:c r="T479" s="4" t="n">
        <x:v>477</x:v>
      </x:c>
      <x:c r="U479" s="4" t="str">
        <x:v>https://github.com/arybczak/ncmpcpp</x:v>
      </x:c>
      <x:c r="V479" s="4" t="str">
        <x:v>arybczak/ncmpcpp</x:v>
      </x:c>
    </x:row>
    <x:row r="480" ht="44" customHeight="1">
      <x:c r="A480" s="4" t="n">
        <x:v>475</x:v>
      </x:c>
      <x:c r="B480" s="4" t="str">
        <x:v>nnn</x:v>
      </x:c>
      <x:c r="C480" s="4" t="n">
        <x:v>2</x:v>
      </x:c>
      <x:c r="D480" s="4" t="str">
        <x:v>系统资源与原生互操作</x:v>
      </x:c>
      <x:c r="E480" s="4" t="str">
        <x:v>本地证据分类</x:v>
      </x:c>
      <x:c r="F480" s="4" t="n">
        <x:v>1</x:v>
      </x:c>
      <x:c r="G480" s="4" t="str">
        <x:v>软件项目</x:v>
      </x:c>
      <x:c r="H480" s="4" t="str">
        <x:v>原生/系统接口</x:v>
      </x:c>
      <x:c r="I480" s="4" t="str">
        <x:v>桌面、TUI 与跨端应用</x:v>
      </x:c>
      <x:c r="J480" s="4" t="str">
        <x:v>C/C++</x:v>
      </x:c>
      <x:c r="K480" s="4" t="str">
        <x:v>未获取</x:v>
      </x:c>
      <x:c r="L480" s="4" t="str">
        <x:v>ncurses /自研</x:v>
      </x:c>
      <x:c r="M480" s="4" t="n">
        <x:v>3</x:v>
      </x:c>
      <x:c r="N480" s="4" t="n">
        <x:v>2</x:v>
      </x:c>
      <x:c r="O480" s="4" t="n">
        <x:v>2</x:v>
      </x:c>
      <x:c r="P480" s="9" t="n">
        <x:v>1</x:v>
      </x:c>
      <x:c r="Q480" s="4"/>
      <x:c r="R480" s="4" t="str">
        <x:v>项目名称/框架的明确功能定位；未逐一在线核验README</x:v>
      </x:c>
      <x:c r="S480" s="4" t="str">
        <x:v>add项目yj88</x:v>
      </x:c>
      <x:c r="T480" s="4" t="n">
        <x:v>478</x:v>
      </x:c>
      <x:c r="U480" s="4" t="str">
        <x:v>https://github.com/jarun/nnn</x:v>
      </x:c>
      <x:c r="V480" s="4" t="str">
        <x:v>jarun/nnn</x:v>
      </x:c>
    </x:row>
    <x:row r="481" ht="44" customHeight="1">
      <x:c r="A481" s="4" t="n">
        <x:v>476</x:v>
      </x:c>
      <x:c r="B481" s="4" t="str">
        <x:v>nutch</x:v>
      </x:c>
      <x:c r="C481" s="4" t="n">
        <x:v>12</x:v>
      </x:c>
      <x:c r="D481" s="4" t="str">
        <x:v>办公软件与桌面操作自动化</x:v>
      </x:c>
      <x:c r="E481" s="4" t="str">
        <x:v>本地证据分类</x:v>
      </x:c>
      <x:c r="F481" s="4" t="n">
        <x:v>1</x:v>
      </x:c>
      <x:c r="G481" s="4" t="str">
        <x:v>软件项目</x:v>
      </x:c>
      <x:c r="H481" s="4" t="str">
        <x:v>办公/浏览器执行</x:v>
      </x:c>
      <x:c r="I481" s="4" t="str">
        <x:v>浏览器自动化与数据采集</x:v>
      </x:c>
      <x:c r="J481" s="4" t="str">
        <x:v>Java</x:v>
      </x:c>
      <x:c r="K481" s="4" t="str">
        <x:v>未获取</x:v>
      </x:c>
      <x:c r="L481" s="4" t="str">
        <x:v>Hadoop / Lucene</x:v>
      </x:c>
      <x:c r="M481" s="4" t="n">
        <x:v>6</x:v>
      </x:c>
      <x:c r="N481" s="4" t="n">
        <x:v>6</x:v>
      </x:c>
      <x:c r="O481" s="4" t="n">
        <x:v>1</x:v>
      </x:c>
      <x:c r="P481" s="9" t="n">
        <x:v>0.16666666666666666</x:v>
      </x:c>
      <x:c r="Q481" s="4"/>
      <x:c r="R481" s="4" t="str">
        <x:v>项目名称/框架的明确功能定位；未逐一在线核验README</x:v>
      </x:c>
      <x:c r="S481" s="4" t="str">
        <x:v>add项目yj88</x:v>
      </x:c>
      <x:c r="T481" s="4" t="n">
        <x:v>479</x:v>
      </x:c>
      <x:c r="U481" s="4" t="str">
        <x:v>https://github.com/apache/nutch</x:v>
      </x:c>
      <x:c r="V481" s="4" t="str">
        <x:v>apache/nutch</x:v>
      </x:c>
    </x:row>
    <x:row r="482" ht="44" customHeight="1">
      <x:c r="A482" s="4" t="n">
        <x:v>477</x:v>
      </x:c>
      <x:c r="B482" s="4" t="str">
        <x:v>open-webui</x:v>
      </x:c>
      <x:c r="C482" s="4" t="n">
        <x:v>13</x:v>
      </x:c>
      <x:c r="D482" s="4" t="str">
        <x:v>Agent编排与工具执行</x:v>
      </x:c>
      <x:c r="E482" s="4" t="str">
        <x:v>元数据已核验</x:v>
      </x:c>
      <x:c r="F482" s="4" t="n">
        <x:v>1</x:v>
      </x:c>
      <x:c r="G482" s="4" t="str">
        <x:v>软件项目</x:v>
      </x:c>
      <x:c r="H482" s="4" t="str">
        <x:v>Agent/模型与工具</x:v>
      </x:c>
      <x:c r="I482" s="4" t="str">
        <x:v>Web 与业务服务</x:v>
      </x:c>
      <x:c r="J482" s="4" t="str">
        <x:v>Python</x:v>
      </x:c>
      <x:c r="K482" s="4" t="str">
        <x:v>Python</x:v>
      </x:c>
      <x:c r="L482" s="4" t="str">
        <x:v>FastAPI</x:v>
      </x:c>
      <x:c r="M482" s="4" t="n">
        <x:v>6</x:v>
      </x:c>
      <x:c r="N482" s="4" t="n">
        <x:v>6</x:v>
      </x:c>
      <x:c r="O482" s="4" t="n">
        <x:v>4</x:v>
      </x:c>
      <x:c r="P482" s="9" t="n">
        <x:v>0.6666666666666666</x:v>
      </x:c>
      <x:c r="Q482" s="4"/>
      <x:c r="R482" s="4" t="str">
        <x:v>项目定位与GitHub描述人工对照</x:v>
      </x:c>
      <x:c r="S482" s="4" t="str">
        <x:v>add项目yj88</x:v>
      </x:c>
      <x:c r="T482" s="4" t="n">
        <x:v>480</x:v>
      </x:c>
      <x:c r="U482" s="4" t="str">
        <x:v>https://github.com/open-webui/open-webui</x:v>
      </x:c>
      <x:c r="V482" s="4" t="str">
        <x:v>open-webui/open-webui</x:v>
      </x:c>
    </x:row>
    <x:row r="483" ht="44" customHeight="1">
      <x:c r="A483" s="4" t="n">
        <x:v>478</x:v>
      </x:c>
      <x:c r="B483" s="4" t="str">
        <x:v>rocketmq-dashboard</x:v>
      </x:c>
      <x:c r="C483" s="4" t="n">
        <x:v>6</x:v>
      </x:c>
      <x:c r="D483" s="4" t="str">
        <x:v>后端服务与业务流程</x:v>
      </x:c>
      <x:c r="E483" s="4" t="str">
        <x:v>本地证据分类</x:v>
      </x:c>
      <x:c r="F483" s="4" t="n">
        <x:v>1</x:v>
      </x:c>
      <x:c r="G483" s="4" t="str">
        <x:v>软件项目</x:v>
      </x:c>
      <x:c r="H483" s="4" t="str">
        <x:v>业务应用/确定性工作流</x:v>
      </x:c>
      <x:c r="I483" s="4" t="str">
        <x:v>数据库、存储与中间件</x:v>
      </x:c>
      <x:c r="J483" s="4" t="str">
        <x:v>Java</x:v>
      </x:c>
      <x:c r="K483" s="4" t="str">
        <x:v>未获取</x:v>
      </x:c>
      <x:c r="L483" s="4" t="str">
        <x:v>Spring Boot / RocketMQ</x:v>
      </x:c>
      <x:c r="M483" s="4" t="n">
        <x:v>5</x:v>
      </x:c>
      <x:c r="N483" s="4" t="n">
        <x:v>5</x:v>
      </x:c>
      <x:c r="O483" s="4" t="n">
        <x:v>2</x:v>
      </x:c>
      <x:c r="P483" s="9" t="n">
        <x:v>0.4</x:v>
      </x:c>
      <x:c r="Q483" s="4"/>
      <x:c r="R483" s="4" t="str">
        <x:v>项目名称/框架的明确功能定位；未逐一在线核验README</x:v>
      </x:c>
      <x:c r="S483" s="4" t="str">
        <x:v>add项目yj88</x:v>
      </x:c>
      <x:c r="T483" s="4" t="n">
        <x:v>481</x:v>
      </x:c>
      <x:c r="U483" s="4" t="str">
        <x:v>https://github.com/apache/rocketmq-dashboard</x:v>
      </x:c>
      <x:c r="V483" s="4" t="str">
        <x:v>apache/rocketmq-dashboard</x:v>
      </x:c>
    </x:row>
    <x:row r="484" ht="44" customHeight="1">
      <x:c r="A484" s="4" t="n">
        <x:v>479</x:v>
      </x:c>
      <x:c r="B484" s="4" t="str">
        <x:v>ruoyi-vue-pro</x:v>
      </x:c>
      <x:c r="C484" s="4" t="n">
        <x:v>6</x:v>
      </x:c>
      <x:c r="D484" s="4" t="str">
        <x:v>后端服务与业务流程</x:v>
      </x:c>
      <x:c r="E484" s="4" t="str">
        <x:v>本地证据分类</x:v>
      </x:c>
      <x:c r="F484" s="4" t="n">
        <x:v>1</x:v>
      </x:c>
      <x:c r="G484" s="4" t="str">
        <x:v>软件项目</x:v>
      </x:c>
      <x:c r="H484" s="4" t="str">
        <x:v>业务应用/确定性工作流</x:v>
      </x:c>
      <x:c r="I484" s="4" t="str">
        <x:v>Web 与业务服务</x:v>
      </x:c>
      <x:c r="J484" s="4" t="str">
        <x:v>Java</x:v>
      </x:c>
      <x:c r="K484" s="4" t="str">
        <x:v>未获取</x:v>
      </x:c>
      <x:c r="L484" s="4" t="str">
        <x:v>Spring Boot / MyBatis Plus</x:v>
      </x:c>
      <x:c r="M484" s="4" t="n">
        <x:v>9</x:v>
      </x:c>
      <x:c r="N484" s="4" t="n">
        <x:v>9</x:v>
      </x:c>
      <x:c r="O484" s="4" t="n">
        <x:v>2</x:v>
      </x:c>
      <x:c r="P484" s="9" t="n">
        <x:v>0.2222222222222222</x:v>
      </x:c>
      <x:c r="Q484" s="4"/>
      <x:c r="R484" s="4" t="str">
        <x:v>项目名称/框架的明确功能定位；未逐一在线核验README</x:v>
      </x:c>
      <x:c r="S484" s="4" t="str">
        <x:v>add项目yj88</x:v>
      </x:c>
      <x:c r="T484" s="4" t="n">
        <x:v>482</x:v>
      </x:c>
      <x:c r="U484" s="4" t="str">
        <x:v>https://github.com/YunaiV/ruoyi-vue-pro</x:v>
      </x:c>
      <x:c r="V484" s="4" t="str">
        <x:v>yunaiv/ruoyi-vue-pro</x:v>
      </x:c>
    </x:row>
    <x:row r="485" ht="44" customHeight="1">
      <x:c r="A485" s="4" t="n">
        <x:v>480</x:v>
      </x:c>
      <x:c r="B485" s="4" t="str">
        <x:v>spring-boot-testing</x:v>
      </x:c>
      <x:c r="C485" s="4" t="n">
        <x:v>14</x:v>
      </x:c>
      <x:c r="D485" s="4" t="str">
        <x:v>软件构建、开发与测试</x:v>
      </x:c>
      <x:c r="E485" s="4" t="str">
        <x:v>本地证据分类</x:v>
      </x:c>
      <x:c r="F485" s="4" t="n">
        <x:v>1</x:v>
      </x:c>
      <x:c r="G485" s="4" t="str">
        <x:v>软件项目</x:v>
      </x:c>
      <x:c r="H485" s="4" t="str">
        <x:v>软件工程；编程Agent需额外挂13标签</x:v>
      </x:c>
      <x:c r="I485" s="4" t="str">
        <x:v>Web 与业务服务</x:v>
      </x:c>
      <x:c r="J485" s="4" t="str">
        <x:v>Java</x:v>
      </x:c>
      <x:c r="K485" s="4" t="str">
        <x:v>未获取</x:v>
      </x:c>
      <x:c r="L485" s="4" t="str">
        <x:v>Spring Boot / JUnit</x:v>
      </x:c>
      <x:c r="M485" s="4" t="n">
        <x:v>7</x:v>
      </x:c>
      <x:c r="N485" s="4" t="n">
        <x:v>7</x:v>
      </x:c>
      <x:c r="O485" s="4" t="n">
        <x:v>0</x:v>
      </x:c>
      <x:c r="P485" s="9" t="n">
        <x:v>0</x:v>
      </x:c>
      <x:c r="Q485" s="4"/>
      <x:c r="R485" s="4" t="str">
        <x:v>项目名称/框架的明确功能定位；未逐一在线核验README</x:v>
      </x:c>
      <x:c r="S485" s="4" t="str">
        <x:v>add项目yj88</x:v>
      </x:c>
      <x:c r="T485" s="4" t="n">
        <x:v>483</x:v>
      </x:c>
      <x:c r="U485" s="4" t="str">
        <x:v>https://github.com/wuyouzhuguli/SpringBoot-Labs</x:v>
      </x:c>
      <x:c r="V485" s="4" t="str">
        <x:v>wuyouzhuguli/springboot-labs</x:v>
      </x:c>
    </x:row>
    <x:row r="486" ht="44" customHeight="1">
      <x:c r="A486" s="4" t="n">
        <x:v>481</x:v>
      </x:c>
      <x:c r="B486" s="4" t="str">
        <x:v>spring-cloud-alibaba</x:v>
      </x:c>
      <x:c r="C486" s="4" t="n">
        <x:v>6</x:v>
      </x:c>
      <x:c r="D486" s="4" t="str">
        <x:v>后端服务与业务流程</x:v>
      </x:c>
      <x:c r="E486" s="4" t="str">
        <x:v>本地证据分类</x:v>
      </x:c>
      <x:c r="F486" s="4" t="n">
        <x:v>1</x:v>
      </x:c>
      <x:c r="G486" s="4" t="str">
        <x:v>软件项目</x:v>
      </x:c>
      <x:c r="H486" s="4" t="str">
        <x:v>业务应用/确定性工作流</x:v>
      </x:c>
      <x:c r="I486" s="4" t="str">
        <x:v>云原生、运维与安全</x:v>
      </x:c>
      <x:c r="J486" s="4" t="str">
        <x:v>Java</x:v>
      </x:c>
      <x:c r="K486" s="4" t="str">
        <x:v>未获取</x:v>
      </x:c>
      <x:c r="L486" s="4" t="str">
        <x:v>Spring Cloud Alibaba</x:v>
      </x:c>
      <x:c r="M486" s="4" t="n">
        <x:v>6</x:v>
      </x:c>
      <x:c r="N486" s="4" t="n">
        <x:v>6</x:v>
      </x:c>
      <x:c r="O486" s="4" t="n">
        <x:v>0</x:v>
      </x:c>
      <x:c r="P486" s="9" t="n">
        <x:v>0</x:v>
      </x:c>
      <x:c r="Q486" s="4"/>
      <x:c r="R486" s="4" t="str">
        <x:v>项目名称/框架的明确功能定位；未逐一在线核验README</x:v>
      </x:c>
      <x:c r="S486" s="4" t="str">
        <x:v>add项目yj88</x:v>
      </x:c>
      <x:c r="T486" s="4" t="n">
        <x:v>484</x:v>
      </x:c>
      <x:c r="U486" s="4" t="str">
        <x:v>https://github.com/alibaba/spring-cloud-alibaba</x:v>
      </x:c>
      <x:c r="V486" s="4" t="str">
        <x:v>alibaba/spring-cloud-alibaba</x:v>
      </x:c>
    </x:row>
    <x:row r="487" ht="44" customHeight="1">
      <x:c r="A487" s="4" t="n">
        <x:v>482</x:v>
      </x:c>
      <x:c r="B487" s="4" t="str">
        <x:v>stable-diffusion-webui</x:v>
      </x:c>
      <x:c r="C487" s="4" t="n">
        <x:v>11</x:v>
      </x:c>
      <x:c r="D487" s="4" t="str">
        <x:v>AI模型与机器学习</x:v>
      </x:c>
      <x:c r="E487" s="4" t="str">
        <x:v>元数据已核验</x:v>
      </x:c>
      <x:c r="F487" s="4" t="n">
        <x:v>1</x:v>
      </x:c>
      <x:c r="G487" s="4" t="str">
        <x:v>软件项目</x:v>
      </x:c>
      <x:c r="H487" s="4" t="str">
        <x:v>AI模型/推理</x:v>
      </x:c>
      <x:c r="I487" s="4" t="str">
        <x:v>Agent 与 AI 应用</x:v>
      </x:c>
      <x:c r="J487" s="4" t="str">
        <x:v>Python</x:v>
      </x:c>
      <x:c r="K487" s="4" t="str">
        <x:v>Python</x:v>
      </x:c>
      <x:c r="L487" s="4" t="str">
        <x:v>PyTorch / Gradio</x:v>
      </x:c>
      <x:c r="M487" s="4" t="n">
        <x:v>6</x:v>
      </x:c>
      <x:c r="N487" s="4" t="n">
        <x:v>6</x:v>
      </x:c>
      <x:c r="O487" s="4" t="n">
        <x:v>4</x:v>
      </x:c>
      <x:c r="P487" s="9" t="n">
        <x:v>0.6666666666666666</x:v>
      </x:c>
      <x:c r="Q487" s="4"/>
      <x:c r="R487" s="4" t="str">
        <x:v>项目定位与GitHub描述人工对照</x:v>
      </x:c>
      <x:c r="S487" s="4" t="str">
        <x:v>add项目yj88</x:v>
      </x:c>
      <x:c r="T487" s="4" t="n">
        <x:v>485</x:v>
      </x:c>
      <x:c r="U487" s="4" t="str">
        <x:v>https://github.com/AUTOMATIC1111/stable-diffusion-webui</x:v>
      </x:c>
      <x:c r="V487" s="4" t="str">
        <x:v>automatic1111/stable-diffusion-webui</x:v>
      </x:c>
    </x:row>
    <x:row r="488" ht="44" customHeight="1">
      <x:c r="A488" s="4" t="n">
        <x:v>483</x:v>
      </x:c>
      <x:c r="B488" s="4" t="str">
        <x:v>tig</x:v>
      </x:c>
      <x:c r="C488" s="4" t="n">
        <x:v>14</x:v>
      </x:c>
      <x:c r="D488" s="4" t="str">
        <x:v>软件构建、开发与测试</x:v>
      </x:c>
      <x:c r="E488" s="4" t="str">
        <x:v>本地证据分类</x:v>
      </x:c>
      <x:c r="F488" s="4" t="n">
        <x:v>1</x:v>
      </x:c>
      <x:c r="G488" s="4" t="str">
        <x:v>软件项目</x:v>
      </x:c>
      <x:c r="H488" s="4" t="str">
        <x:v>软件工程；编程Agent需额外挂13标签</x:v>
      </x:c>
      <x:c r="I488" s="4" t="str">
        <x:v>桌面、TUI 与跨端应用</x:v>
      </x:c>
      <x:c r="J488" s="4" t="str">
        <x:v>C/C++</x:v>
      </x:c>
      <x:c r="K488" s="4" t="str">
        <x:v>未获取</x:v>
      </x:c>
      <x:c r="L488" s="4" t="str">
        <x:v>ncurses /readline</x:v>
      </x:c>
      <x:c r="M488" s="4" t="n">
        <x:v>3</x:v>
      </x:c>
      <x:c r="N488" s="4" t="n">
        <x:v>2</x:v>
      </x:c>
      <x:c r="O488" s="4" t="n">
        <x:v>2</x:v>
      </x:c>
      <x:c r="P488" s="9" t="n">
        <x:v>1</x:v>
      </x:c>
      <x:c r="Q488" s="4"/>
      <x:c r="R488" s="4" t="str">
        <x:v>项目名称/框架的明确功能定位；未逐一在线核验README</x:v>
      </x:c>
      <x:c r="S488" s="4" t="str">
        <x:v>add项目yj88</x:v>
      </x:c>
      <x:c r="T488" s="4" t="n">
        <x:v>486</x:v>
      </x:c>
      <x:c r="U488" s="4" t="str">
        <x:v>https://github.com/jonas/tig</x:v>
      </x:c>
      <x:c r="V488" s="4" t="str">
        <x:v>jonas/tig</x:v>
      </x:c>
    </x:row>
    <x:row r="489" ht="44" customHeight="1">
      <x:c r="A489" s="4" t="n">
        <x:v>484</x:v>
      </x:c>
      <x:c r="B489" s="4" t="str">
        <x:v>webmagic</x:v>
      </x:c>
      <x:c r="C489" s="4" t="n">
        <x:v>12</x:v>
      </x:c>
      <x:c r="D489" s="4" t="str">
        <x:v>办公软件与桌面操作自动化</x:v>
      </x:c>
      <x:c r="E489" s="4" t="str">
        <x:v>本地证据分类</x:v>
      </x:c>
      <x:c r="F489" s="4" t="n">
        <x:v>1</x:v>
      </x:c>
      <x:c r="G489" s="4" t="str">
        <x:v>软件项目</x:v>
      </x:c>
      <x:c r="H489" s="4" t="str">
        <x:v>办公/浏览器执行</x:v>
      </x:c>
      <x:c r="I489" s="4" t="str">
        <x:v>浏览器自动化与数据采集</x:v>
      </x:c>
      <x:c r="J489" s="4" t="str">
        <x:v>Java</x:v>
      </x:c>
      <x:c r="K489" s="4" t="str">
        <x:v>未获取</x:v>
      </x:c>
      <x:c r="L489" s="4" t="str">
        <x:v>WebMagic / Jsoup</x:v>
      </x:c>
      <x:c r="M489" s="4" t="n">
        <x:v>7</x:v>
      </x:c>
      <x:c r="N489" s="4" t="n">
        <x:v>7</x:v>
      </x:c>
      <x:c r="O489" s="4" t="n">
        <x:v>0</x:v>
      </x:c>
      <x:c r="P489" s="9" t="n">
        <x:v>0</x:v>
      </x:c>
      <x:c r="Q489" s="4"/>
      <x:c r="R489" s="4" t="str">
        <x:v>项目名称/框架的明确功能定位；未逐一在线核验README</x:v>
      </x:c>
      <x:c r="S489" s="4" t="str">
        <x:v>add项目yj88</x:v>
      </x:c>
      <x:c r="T489" s="4" t="n">
        <x:v>487</x:v>
      </x:c>
      <x:c r="U489" s="4" t="str">
        <x:v>https://github.com/code4craft/webmagic</x:v>
      </x:c>
      <x:c r="V489" s="4" t="str">
        <x:v>code4craft/webmagic</x:v>
      </x:c>
    </x:row>
    <x:row r="490" ht="44" customHeight="1">
      <x:c r="A490" s="4" t="n">
        <x:v>485</x:v>
      </x:c>
      <x:c r="B490" s="4" t="str">
        <x:v>xxl-job</x:v>
      </x:c>
      <x:c r="C490" s="4" t="n">
        <x:v>6</x:v>
      </x:c>
      <x:c r="D490" s="4" t="str">
        <x:v>后端服务与业务流程</x:v>
      </x:c>
      <x:c r="E490" s="4" t="str">
        <x:v>本地证据分类</x:v>
      </x:c>
      <x:c r="F490" s="4" t="n">
        <x:v>1</x:v>
      </x:c>
      <x:c r="G490" s="4" t="str">
        <x:v>软件项目</x:v>
      </x:c>
      <x:c r="H490" s="4" t="str">
        <x:v>业务应用/确定性工作流</x:v>
      </x:c>
      <x:c r="I490" s="4" t="str">
        <x:v>Web 与业务服务</x:v>
      </x:c>
      <x:c r="J490" s="4" t="str">
        <x:v>Java</x:v>
      </x:c>
      <x:c r="K490" s="4" t="str">
        <x:v>未获取</x:v>
      </x:c>
      <x:c r="L490" s="4" t="str">
        <x:v>Spring Boot / Netty</x:v>
      </x:c>
      <x:c r="M490" s="4" t="n">
        <x:v>7</x:v>
      </x:c>
      <x:c r="N490" s="4" t="n">
        <x:v>7</x:v>
      </x:c>
      <x:c r="O490" s="4" t="n">
        <x:v>0</x:v>
      </x:c>
      <x:c r="P490" s="9" t="n">
        <x:v>0</x:v>
      </x:c>
      <x:c r="Q490" s="4"/>
      <x:c r="R490" s="4" t="str">
        <x:v>项目名称/框架的明确功能定位；未逐一在线核验README</x:v>
      </x:c>
      <x:c r="S490" s="4" t="str">
        <x:v>add项目yj88</x:v>
      </x:c>
      <x:c r="T490" s="4" t="n">
        <x:v>488</x:v>
      </x:c>
      <x:c r="U490" s="4" t="str">
        <x:v>https://github.com/xuxueli/xxl-job</x:v>
      </x:c>
      <x:c r="V490" s="4" t="str">
        <x:v>xuxueli/xxl-job</x:v>
      </x:c>
    </x:row>
    <x:row r="491" ht="44" customHeight="1">
      <x:c r="A491" s="4" t="n">
        <x:v>486</x:v>
      </x:c>
      <x:c r="B491" s="4" t="str">
        <x:v>yfinance</x:v>
      </x:c>
      <x:c r="C491" s="4" t="n">
        <x:v>8</x:v>
      </x:c>
      <x:c r="D491" s="4" t="str">
        <x:v>数据处理与科学计算</x:v>
      </x:c>
      <x:c r="E491" s="4" t="str">
        <x:v>本地证据分类</x:v>
      </x:c>
      <x:c r="F491" s="4" t="n">
        <x:v>1</x:v>
      </x:c>
      <x:c r="G491" s="4" t="str">
        <x:v>软件项目</x:v>
      </x:c>
      <x:c r="H491" s="4" t="str">
        <x:v>数据/行业分析</x:v>
      </x:c>
      <x:c r="I491" s="4" t="str">
        <x:v>数据分析与科学计算</x:v>
      </x:c>
      <x:c r="J491" s="4" t="str">
        <x:v>Python</x:v>
      </x:c>
      <x:c r="K491" s="4" t="str">
        <x:v>未获取</x:v>
      </x:c>
      <x:c r="L491" s="4" t="str">
        <x:v>Pandas</x:v>
      </x:c>
      <x:c r="M491" s="4" t="n">
        <x:v>5</x:v>
      </x:c>
      <x:c r="N491" s="4" t="n">
        <x:v>5</x:v>
      </x:c>
      <x:c r="O491" s="4" t="n">
        <x:v>5</x:v>
      </x:c>
      <x:c r="P491" s="9" t="n">
        <x:v>1</x:v>
      </x:c>
      <x:c r="Q491" s="4"/>
      <x:c r="R491" s="4" t="str">
        <x:v>项目名称/框架的明确功能定位；未逐一在线核验README</x:v>
      </x:c>
      <x:c r="S491" s="4" t="str">
        <x:v>add项目yj88</x:v>
      </x:c>
      <x:c r="T491" s="4" t="n">
        <x:v>489</x:v>
      </x:c>
      <x:c r="U491" s="4" t="str">
        <x:v>https://github.com/ranaroussi/yfinance</x:v>
      </x:c>
      <x:c r="V491" s="4" t="str">
        <x:v>ranaroussi/yfinance</x:v>
      </x:c>
    </x:row>
    <x:row r="492" ht="44" customHeight="1">
      <x:c r="A492" s="4" t="n">
        <x:v>487</x:v>
      </x:c>
      <x:c r="B492" s="4" t="str">
        <x:v>zhihu_spider</x:v>
      </x:c>
      <x:c r="C492" s="4" t="n">
        <x:v>12</x:v>
      </x:c>
      <x:c r="D492" s="4" t="str">
        <x:v>办公软件与桌面操作自动化</x:v>
      </x:c>
      <x:c r="E492" s="4" t="str">
        <x:v>本地证据分类</x:v>
      </x:c>
      <x:c r="F492" s="4" t="n">
        <x:v>1</x:v>
      </x:c>
      <x:c r="G492" s="4" t="str">
        <x:v>软件项目</x:v>
      </x:c>
      <x:c r="H492" s="4" t="str">
        <x:v>办公/浏览器执行</x:v>
      </x:c>
      <x:c r="I492" s="4" t="str">
        <x:v>浏览器自动化与数据采集</x:v>
      </x:c>
      <x:c r="J492" s="4" t="str">
        <x:v>Python</x:v>
      </x:c>
      <x:c r="K492" s="4" t="str">
        <x:v>未获取</x:v>
      </x:c>
      <x:c r="L492" s="4" t="str">
        <x:v>Scrapy</x:v>
      </x:c>
      <x:c r="M492" s="4" t="n">
        <x:v>4</x:v>
      </x:c>
      <x:c r="N492" s="4" t="n">
        <x:v>4</x:v>
      </x:c>
      <x:c r="O492" s="4" t="n">
        <x:v>3</x:v>
      </x:c>
      <x:c r="P492" s="9" t="n">
        <x:v>0.75</x:v>
      </x:c>
      <x:c r="Q492" s="4"/>
      <x:c r="R492" s="4" t="str">
        <x:v>项目名称/框架的明确功能定位；未逐一在线核验README</x:v>
      </x:c>
      <x:c r="S492" s="4" t="str">
        <x:v>add项目yj88</x:v>
      </x:c>
      <x:c r="T492" s="4" t="n">
        <x:v>490</x:v>
      </x:c>
      <x:c r="U492" s="4" t="str">
        <x:v>https://github.com/LiuRoy/zhihu_spider</x:v>
      </x:c>
      <x:c r="V492" s="4" t="str">
        <x:v>liuroy/zhihu_spider</x:v>
      </x:c>
    </x:row>
    <x:row r="493" ht="44" customHeight="1">
      <x:c r="A493" s="4" t="n">
        <x:v>488</x:v>
      </x:c>
      <x:c r="B493" s="4" t="str">
        <x:v>7-Zip</x:v>
      </x:c>
      <x:c r="C493" s="4" t="n">
        <x:v>2</x:v>
      </x:c>
      <x:c r="D493" s="4" t="str">
        <x:v>系统资源与原生互操作</x:v>
      </x:c>
      <x:c r="E493" s="4" t="str">
        <x:v>本地证据分类</x:v>
      </x:c>
      <x:c r="F493" s="4" t="n">
        <x:v>1</x:v>
      </x:c>
      <x:c r="G493" s="4" t="str">
        <x:v>软件项目</x:v>
      </x:c>
      <x:c r="H493" s="4" t="str">
        <x:v>原生/系统接口</x:v>
      </x:c>
      <x:c r="I493" s="4" t="str">
        <x:v>行业与其他应用</x:v>
      </x:c>
      <x:c r="J493" s="4" t="str">
        <x:v>C/C++</x:v>
      </x:c>
      <x:c r="K493" s="4" t="str">
        <x:v>未获取</x:v>
      </x:c>
      <x:c r="L493" s="4" t="str">
        <x:v>N/A</x:v>
      </x:c>
      <x:c r="M493" s="4" t="n">
        <x:v>1</x:v>
      </x:c>
      <x:c r="N493" s="4" t="n">
        <x:v>1</x:v>
      </x:c>
      <x:c r="O493" s="4" t="n">
        <x:v>1</x:v>
      </x:c>
      <x:c r="P493" s="9" t="n">
        <x:v>1</x:v>
      </x:c>
      <x:c r="Q493" s="4"/>
      <x:c r="R493" s="4" t="str">
        <x:v>项目名称/框架的明确功能定位；未逐一在线核验README</x:v>
      </x:c>
      <x:c r="S493" s="4" t="str">
        <x:v>鸿蒙开源项目列表</x:v>
      </x:c>
      <x:c r="T493" s="4" t="n">
        <x:v>491</x:v>
      </x:c>
      <x:c r="U493" s="4" t="str">
        <x:v>https://github.com/ip7z/7zip</x:v>
      </x:c>
      <x:c r="V493" s="4" t="str">
        <x:v>ip7z/7zip</x:v>
      </x:c>
    </x:row>
    <x:row r="494" ht="44" customHeight="1">
      <x:c r="A494" s="4" t="n">
        <x:v>489</x:v>
      </x:c>
      <x:c r="B494" s="4" t="str">
        <x:v>Aria2</x:v>
      </x:c>
      <x:c r="C494" s="4"/>
      <x:c r="D494" s="4" t="str">
        <x:v>未归入15类</x:v>
      </x:c>
      <x:c r="E494" s="4" t="str">
        <x:v>范围排除</x:v>
      </x:c>
      <x:c r="F494" s="4" t="n">
        <x:v>0</x:v>
      </x:c>
      <x:c r="G494" s="4" t="str">
        <x:v>平台应用/非三方库</x:v>
      </x:c>
      <x:c r="H494" s="4" t="str">
        <x:v>平台依赖</x:v>
      </x:c>
      <x:c r="I494" s="4" t="str">
        <x:v>当前页面未列入</x:v>
      </x:c>
      <x:c r="J494" s="4" t="str">
        <x:v>ArkTS</x:v>
      </x:c>
      <x:c r="K494" s="4" t="str">
        <x:v>未获取</x:v>
      </x:c>
      <x:c r="L494" s="4" t="str">
        <x:v>ArkUI</x:v>
      </x:c>
      <x:c r="M494" s="4" t="n">
        <x:v>0</x:v>
      </x:c>
      <x:c r="N494" s="4"/>
      <x:c r="O494" s="4"/>
      <x:c r="P494" s="9"/>
      <x:c r="Q494" s="4"/>
      <x:c r="R494" s="4" t="str">
        <x:v>源表标记ArkTS或ArkUI；单列平台范围，不计三方库验证分母</x:v>
      </x:c>
      <x:c r="S494" s="4" t="str">
        <x:v>鸿蒙开源项目列表</x:v>
      </x:c>
      <x:c r="T494" s="4" t="n">
        <x:v>492</x:v>
      </x:c>
      <x:c r="U494" s="4" t="str">
        <x:v>https://github.com/SwimmingTiger/aria2-ohos</x:v>
      </x:c>
      <x:c r="V494" s="4" t="str">
        <x:v>swimmingtiger/aria2-ohos</x:v>
      </x:c>
    </x:row>
    <x:row r="495" ht="44" customHeight="1">
      <x:c r="A495" s="4" t="n">
        <x:v>490</x:v>
      </x:c>
      <x:c r="B495" s="4" t="str">
        <x:v>Audacity</x:v>
      </x:c>
      <x:c r="C495" s="4" t="n">
        <x:v>9</x:v>
      </x:c>
      <x:c r="D495" s="4" t="str">
        <x:v>图形、多媒体与实时应用</x:v>
      </x:c>
      <x:c r="E495" s="4" t="str">
        <x:v>本地证据分类</x:v>
      </x:c>
      <x:c r="F495" s="4" t="n">
        <x:v>1</x:v>
      </x:c>
      <x:c r="G495" s="4" t="str">
        <x:v>软件项目</x:v>
      </x:c>
      <x:c r="H495" s="4" t="str">
        <x:v>媒体/图形</x:v>
      </x:c>
      <x:c r="I495" s="4" t="str">
        <x:v>桌面、TUI 与跨端应用</x:v>
      </x:c>
      <x:c r="J495" s="4" t="str">
        <x:v>C/C++</x:v>
      </x:c>
      <x:c r="K495" s="4" t="str">
        <x:v>未获取</x:v>
      </x:c>
      <x:c r="L495" s="4" t="str">
        <x:v>wxWidgets</x:v>
      </x:c>
      <x:c r="M495" s="4" t="n">
        <x:v>1</x:v>
      </x:c>
      <x:c r="N495" s="4" t="n">
        <x:v>1</x:v>
      </x:c>
      <x:c r="O495" s="4" t="n">
        <x:v>1</x:v>
      </x:c>
      <x:c r="P495" s="9" t="n">
        <x:v>1</x:v>
      </x:c>
      <x:c r="Q495" s="4"/>
      <x:c r="R495" s="4" t="str">
        <x:v>项目名称/框架的明确功能定位；未逐一在线核验README</x:v>
      </x:c>
      <x:c r="S495" s="4" t="str">
        <x:v>鸿蒙开源项目列表</x:v>
      </x:c>
      <x:c r="T495" s="4" t="n">
        <x:v>493</x:v>
      </x:c>
      <x:c r="U495" s="4" t="str">
        <x:v>https://github.com/audacity/audacity</x:v>
      </x:c>
      <x:c r="V495" s="4" t="str">
        <x:v>audacity/audacity</x:v>
      </x:c>
    </x:row>
    <x:row r="496" ht="44" customHeight="1">
      <x:c r="A496" s="4" t="n">
        <x:v>491</x:v>
      </x:c>
      <x:c r="B496" s="4" t="str">
        <x:v>BiglyBT</x:v>
      </x:c>
      <x:c r="C496" s="4" t="n">
        <x:v>3</x:v>
      </x:c>
      <x:c r="D496" s="4" t="str">
        <x:v>网络与通信协议</x:v>
      </x:c>
      <x:c r="E496" s="4" t="str">
        <x:v>本地证据分类</x:v>
      </x:c>
      <x:c r="F496" s="4" t="n">
        <x:v>1</x:v>
      </x:c>
      <x:c r="G496" s="4" t="str">
        <x:v>软件项目</x:v>
      </x:c>
      <x:c r="H496" s="4" t="str">
        <x:v>网络通信</x:v>
      </x:c>
      <x:c r="I496" s="4" t="str">
        <x:v>当前页面未列入</x:v>
      </x:c>
      <x:c r="J496" s="4" t="str">
        <x:v>Java</x:v>
      </x:c>
      <x:c r="K496" s="4" t="str">
        <x:v>未获取</x:v>
      </x:c>
      <x:c r="L496" s="4" t="str">
        <x:v>SWT</x:v>
      </x:c>
      <x:c r="M496" s="4" t="n">
        <x:v>0</x:v>
      </x:c>
      <x:c r="N496" s="4"/>
      <x:c r="O496" s="4"/>
      <x:c r="P496" s="9"/>
      <x:c r="Q496" s="4"/>
      <x:c r="R496" s="4" t="str">
        <x:v>项目名称/框架的明确功能定位；未逐一在线核验README</x:v>
      </x:c>
      <x:c r="S496" s="4" t="str">
        <x:v>鸿蒙开源项目列表</x:v>
      </x:c>
      <x:c r="T496" s="4" t="n">
        <x:v>494</x:v>
      </x:c>
      <x:c r="U496" s="4" t="str">
        <x:v>https://github.com/BiglySoftware/BiglyBT</x:v>
      </x:c>
      <x:c r="V496" s="4" t="str">
        <x:v>biglysoftware/biglybt</x:v>
      </x:c>
    </x:row>
    <x:row r="497" ht="44" customHeight="1">
      <x:c r="A497" s="4" t="n">
        <x:v>492</x:v>
      </x:c>
      <x:c r="B497" s="4" t="str">
        <x:v>BiliMusic</x:v>
      </x:c>
      <x:c r="C497" s="4" t="n">
        <x:v>9</x:v>
      </x:c>
      <x:c r="D497" s="4" t="str">
        <x:v>图形、多媒体与实时应用</x:v>
      </x:c>
      <x:c r="E497" s="4" t="str">
        <x:v>本地证据分类</x:v>
      </x:c>
      <x:c r="F497" s="4" t="n">
        <x:v>1</x:v>
      </x:c>
      <x:c r="G497" s="4" t="str">
        <x:v>软件项目</x:v>
      </x:c>
      <x:c r="H497" s="4" t="str">
        <x:v>媒体/图形</x:v>
      </x:c>
      <x:c r="I497" s="4" t="str">
        <x:v>Web 与业务服务</x:v>
      </x:c>
      <x:c r="J497" s="4" t="str">
        <x:v>JavaScript/TypeScript</x:v>
      </x:c>
      <x:c r="K497" s="4" t="str">
        <x:v>未获取</x:v>
      </x:c>
      <x:c r="L497" s="4" t="str">
        <x:v>Electron + React 19 + Vite 6 + Tailwind CSS 4</x:v>
      </x:c>
      <x:c r="M497" s="4" t="n">
        <x:v>2</x:v>
      </x:c>
      <x:c r="N497" s="4" t="n">
        <x:v>2</x:v>
      </x:c>
      <x:c r="O497" s="4" t="n">
        <x:v>0</x:v>
      </x:c>
      <x:c r="P497" s="9" t="n">
        <x:v>0</x:v>
      </x:c>
      <x:c r="Q497" s="4"/>
      <x:c r="R497" s="4" t="str">
        <x:v>项目名称/框架的明确功能定位；未逐一在线核验README</x:v>
      </x:c>
      <x:c r="S497" s="4" t="str">
        <x:v>鸿蒙开源项目列表</x:v>
      </x:c>
      <x:c r="T497" s="4" t="n">
        <x:v>495</x:v>
      </x:c>
      <x:c r="U497" s="4" t="str">
        <x:v>https://github.com/HanversionOvO/BiliMusic</x:v>
      </x:c>
      <x:c r="V497" s="4" t="str">
        <x:v>hanversionovo/bilimusic</x:v>
      </x:c>
    </x:row>
    <x:row r="498" ht="44" customHeight="1">
      <x:c r="A498" s="4" t="n">
        <x:v>493</x:v>
      </x:c>
      <x:c r="B498" s="4" t="str">
        <x:v>Calibre</x:v>
      </x:c>
      <x:c r="C498" s="4" t="n">
        <x:v>10</x:v>
      </x:c>
      <x:c r="D498" s="4" t="str">
        <x:v>文档与办公数据处理</x:v>
      </x:c>
      <x:c r="E498" s="4" t="str">
        <x:v>本地证据分类</x:v>
      </x:c>
      <x:c r="F498" s="4" t="n">
        <x:v>1</x:v>
      </x:c>
      <x:c r="G498" s="4" t="str">
        <x:v>软件项目</x:v>
      </x:c>
      <x:c r="H498" s="4" t="str">
        <x:v>文档/知识内容</x:v>
      </x:c>
      <x:c r="I498" s="4" t="str">
        <x:v>当前页面未列入</x:v>
      </x:c>
      <x:c r="J498" s="4" t="str">
        <x:v>Python</x:v>
      </x:c>
      <x:c r="K498" s="4" t="str">
        <x:v>未获取</x:v>
      </x:c>
      <x:c r="L498" s="4" t="str">
        <x:v>Qt</x:v>
      </x:c>
      <x:c r="M498" s="4" t="n">
        <x:v>0</x:v>
      </x:c>
      <x:c r="N498" s="4"/>
      <x:c r="O498" s="4"/>
      <x:c r="P498" s="9"/>
      <x:c r="Q498" s="4"/>
      <x:c r="R498" s="4" t="str">
        <x:v>项目名称/框架的明确功能定位；未逐一在线核验README</x:v>
      </x:c>
      <x:c r="S498" s="4" t="str">
        <x:v>鸿蒙开源项目列表</x:v>
      </x:c>
      <x:c r="T498" s="4" t="n">
        <x:v>496</x:v>
      </x:c>
      <x:c r="U498" s="4" t="str">
        <x:v>https://github.com/kovidgoyal/calibre</x:v>
      </x:c>
      <x:c r="V498" s="4" t="str">
        <x:v>kovidgoyal/calibre</x:v>
      </x:c>
    </x:row>
    <x:row r="499" ht="44" customHeight="1">
      <x:c r="A499" s="4" t="n">
        <x:v>494</x:v>
      </x:c>
      <x:c r="B499" s="4" t="str">
        <x:v>Chatterino2</x:v>
      </x:c>
      <x:c r="C499" s="4" t="n">
        <x:v>6</x:v>
      </x:c>
      <x:c r="D499" s="4" t="str">
        <x:v>后端服务与业务流程</x:v>
      </x:c>
      <x:c r="E499" s="4" t="str">
        <x:v>本地证据分类</x:v>
      </x:c>
      <x:c r="F499" s="4" t="n">
        <x:v>1</x:v>
      </x:c>
      <x:c r="G499" s="4" t="str">
        <x:v>软件项目</x:v>
      </x:c>
      <x:c r="H499" s="4" t="str">
        <x:v>业务应用</x:v>
      </x:c>
      <x:c r="I499" s="4" t="str">
        <x:v>桌面、TUI 与跨端应用</x:v>
      </x:c>
      <x:c r="J499" s="4" t="str">
        <x:v>C/C++</x:v>
      </x:c>
      <x:c r="K499" s="4" t="str">
        <x:v>未获取</x:v>
      </x:c>
      <x:c r="L499" s="4" t="str">
        <x:v>Qt</x:v>
      </x:c>
      <x:c r="M499" s="4" t="n">
        <x:v>1</x:v>
      </x:c>
      <x:c r="N499" s="4" t="n">
        <x:v>1</x:v>
      </x:c>
      <x:c r="O499" s="4" t="n">
        <x:v>0</x:v>
      </x:c>
      <x:c r="P499" s="9" t="n">
        <x:v>0</x:v>
      </x:c>
      <x:c r="Q499" s="4"/>
      <x:c r="R499" s="4" t="str">
        <x:v>项目名称/框架的明确功能定位；未逐一在线核验README</x:v>
      </x:c>
      <x:c r="S499" s="4" t="str">
        <x:v>鸿蒙开源项目列表</x:v>
      </x:c>
      <x:c r="T499" s="4" t="n">
        <x:v>497</x:v>
      </x:c>
      <x:c r="U499" s="4" t="str">
        <x:v>https://github.com/Chatterino/chatterino2</x:v>
      </x:c>
      <x:c r="V499" s="4" t="str">
        <x:v>chatterino/chatterino2</x:v>
      </x:c>
    </x:row>
    <x:row r="500" ht="44" customHeight="1">
      <x:c r="A500" s="4" t="n">
        <x:v>495</x:v>
      </x:c>
      <x:c r="B500" s="4" t="str">
        <x:v>ComfyUI</x:v>
      </x:c>
      <x:c r="C500" s="4" t="n">
        <x:v>11</x:v>
      </x:c>
      <x:c r="D500" s="4" t="str">
        <x:v>AI模型与机器学习</x:v>
      </x:c>
      <x:c r="E500" s="4" t="str">
        <x:v>元数据已核验</x:v>
      </x:c>
      <x:c r="F500" s="4" t="n">
        <x:v>1</x:v>
      </x:c>
      <x:c r="G500" s="4" t="str">
        <x:v>软件项目</x:v>
      </x:c>
      <x:c r="H500" s="4" t="str">
        <x:v>AI模型/推理</x:v>
      </x:c>
      <x:c r="I500" s="4" t="str">
        <x:v>Agent 与 AI 应用</x:v>
      </x:c>
      <x:c r="J500" s="4" t="str">
        <x:v>Python</x:v>
      </x:c>
      <x:c r="K500" s="4" t="str">
        <x:v>Python</x:v>
      </x:c>
      <x:c r="L500" s="4" t="str">
        <x:v>N/A</x:v>
      </x:c>
      <x:c r="M500" s="4" t="n">
        <x:v>0</x:v>
      </x:c>
      <x:c r="N500" s="4" t="n">
        <x:v>6</x:v>
      </x:c>
      <x:c r="O500" s="4" t="n">
        <x:v>5</x:v>
      </x:c>
      <x:c r="P500" s="9" t="n">
        <x:v>0.8333333333333334</x:v>
      </x:c>
      <x:c r="Q500" s="4"/>
      <x:c r="R500" s="4" t="str">
        <x:v>项目定位与GitHub描述人工对照</x:v>
      </x:c>
      <x:c r="S500" s="4" t="str">
        <x:v>鸿蒙开源项目列表</x:v>
      </x:c>
      <x:c r="T500" s="4" t="n">
        <x:v>498</x:v>
      </x:c>
      <x:c r="U500" s="4" t="str">
        <x:v>https://github.com/Comfy-Org/ComfyUI</x:v>
      </x:c>
      <x:c r="V500" s="4" t="str">
        <x:v>comfy-org/comfyui</x:v>
      </x:c>
    </x:row>
    <x:row r="501" ht="44" customHeight="1">
      <x:c r="A501" s="4" t="n">
        <x:v>496</x:v>
      </x:c>
      <x:c r="B501" s="4" t="str">
        <x:v>Flameshot</x:v>
      </x:c>
      <x:c r="C501" s="4" t="n">
        <x:v>9</x:v>
      </x:c>
      <x:c r="D501" s="4" t="str">
        <x:v>图形、多媒体与实时应用</x:v>
      </x:c>
      <x:c r="E501" s="4" t="str">
        <x:v>本地证据分类</x:v>
      </x:c>
      <x:c r="F501" s="4" t="n">
        <x:v>1</x:v>
      </x:c>
      <x:c r="G501" s="4" t="str">
        <x:v>软件项目</x:v>
      </x:c>
      <x:c r="H501" s="4" t="str">
        <x:v>媒体/图形</x:v>
      </x:c>
      <x:c r="I501" s="4" t="str">
        <x:v>桌面、TUI 与跨端应用</x:v>
      </x:c>
      <x:c r="J501" s="4" t="str">
        <x:v>C/C++</x:v>
      </x:c>
      <x:c r="K501" s="4" t="str">
        <x:v>未获取</x:v>
      </x:c>
      <x:c r="L501" s="4" t="str">
        <x:v>Qt</x:v>
      </x:c>
      <x:c r="M501" s="4" t="n">
        <x:v>1</x:v>
      </x:c>
      <x:c r="N501" s="4" t="n">
        <x:v>1</x:v>
      </x:c>
      <x:c r="O501" s="4" t="n">
        <x:v>1</x:v>
      </x:c>
      <x:c r="P501" s="9" t="n">
        <x:v>1</x:v>
      </x:c>
      <x:c r="Q501" s="4"/>
      <x:c r="R501" s="4" t="str">
        <x:v>项目名称/框架的明确功能定位；未逐一在线核验README</x:v>
      </x:c>
      <x:c r="S501" s="4" t="str">
        <x:v>鸿蒙开源项目列表</x:v>
      </x:c>
      <x:c r="T501" s="4" t="n">
        <x:v>499</x:v>
      </x:c>
      <x:c r="U501" s="4" t="str">
        <x:v>https://github.com/flameshot-org/flameshot</x:v>
      </x:c>
      <x:c r="V501" s="4" t="str">
        <x:v>flameshot-org/flameshot</x:v>
      </x:c>
    </x:row>
    <x:row r="502" ht="44" customHeight="1">
      <x:c r="A502" s="4" t="n">
        <x:v>497</x:v>
      </x:c>
      <x:c r="B502" s="4" t="str">
        <x:v>Freeplane</x:v>
      </x:c>
      <x:c r="C502" s="4" t="n">
        <x:v>10</x:v>
      </x:c>
      <x:c r="D502" s="4" t="str">
        <x:v>文档与办公数据处理</x:v>
      </x:c>
      <x:c r="E502" s="4" t="str">
        <x:v>本地证据分类</x:v>
      </x:c>
      <x:c r="F502" s="4" t="n">
        <x:v>1</x:v>
      </x:c>
      <x:c r="G502" s="4" t="str">
        <x:v>软件项目</x:v>
      </x:c>
      <x:c r="H502" s="4" t="str">
        <x:v>文档/知识内容</x:v>
      </x:c>
      <x:c r="I502" s="4" t="str">
        <x:v>当前页面未列入</x:v>
      </x:c>
      <x:c r="J502" s="4" t="str">
        <x:v>Java</x:v>
      </x:c>
      <x:c r="K502" s="4" t="str">
        <x:v>未获取</x:v>
      </x:c>
      <x:c r="L502" s="4" t="str">
        <x:v>JavaFX</x:v>
      </x:c>
      <x:c r="M502" s="4" t="n">
        <x:v>0</x:v>
      </x:c>
      <x:c r="N502" s="4"/>
      <x:c r="O502" s="4"/>
      <x:c r="P502" s="9"/>
      <x:c r="Q502" s="4"/>
      <x:c r="R502" s="4" t="str">
        <x:v>项目名称/框架的明确功能定位；未逐一在线核验README</x:v>
      </x:c>
      <x:c r="S502" s="4" t="str">
        <x:v>鸿蒙开源项目列表</x:v>
      </x:c>
      <x:c r="T502" s="4" t="n">
        <x:v>500</x:v>
      </x:c>
      <x:c r="U502" s="4" t="str">
        <x:v>https://github.com/freeplane/freeplane</x:v>
      </x:c>
      <x:c r="V502" s="4" t="str">
        <x:v>freeplane/freeplane</x:v>
      </x:c>
    </x:row>
    <x:row r="503" ht="44" customHeight="1">
      <x:c r="A503" s="4" t="n">
        <x:v>498</x:v>
      </x:c>
      <x:c r="B503" s="4" t="str">
        <x:v>GIMP</x:v>
      </x:c>
      <x:c r="C503" s="4" t="n">
        <x:v>9</x:v>
      </x:c>
      <x:c r="D503" s="4" t="str">
        <x:v>图形、多媒体与实时应用</x:v>
      </x:c>
      <x:c r="E503" s="4" t="str">
        <x:v>本地证据分类</x:v>
      </x:c>
      <x:c r="F503" s="4" t="n">
        <x:v>1</x:v>
      </x:c>
      <x:c r="G503" s="4" t="str">
        <x:v>软件项目</x:v>
      </x:c>
      <x:c r="H503" s="4" t="str">
        <x:v>媒体/图形</x:v>
      </x:c>
      <x:c r="I503" s="4" t="str">
        <x:v>桌面、TUI 与跨端应用</x:v>
      </x:c>
      <x:c r="J503" s="4" t="str">
        <x:v>C/C++</x:v>
      </x:c>
      <x:c r="K503" s="4" t="str">
        <x:v>未获取</x:v>
      </x:c>
      <x:c r="L503" s="4" t="str">
        <x:v>GTK</x:v>
      </x:c>
      <x:c r="M503" s="4" t="n">
        <x:v>1</x:v>
      </x:c>
      <x:c r="N503" s="4" t="n">
        <x:v>1</x:v>
      </x:c>
      <x:c r="O503" s="4" t="n">
        <x:v>1</x:v>
      </x:c>
      <x:c r="P503" s="9" t="n">
        <x:v>1</x:v>
      </x:c>
      <x:c r="Q503" s="4"/>
      <x:c r="R503" s="4" t="str">
        <x:v>项目名称/框架的明确功能定位；未逐一在线核验README</x:v>
      </x:c>
      <x:c r="S503" s="4" t="str">
        <x:v>鸿蒙开源项目列表</x:v>
      </x:c>
      <x:c r="T503" s="4" t="n">
        <x:v>501</x:v>
      </x:c>
      <x:c r="U503" s="4" t="str">
        <x:v>https://github.com/GNOME/gimp</x:v>
      </x:c>
      <x:c r="V503" s="4" t="str">
        <x:v>gnome/gimp</x:v>
      </x:c>
    </x:row>
    <x:row r="504" ht="44" customHeight="1">
      <x:c r="A504" s="4" t="n">
        <x:v>499</x:v>
      </x:c>
      <x:c r="B504" s="4" t="str">
        <x:v>HandBrake</x:v>
      </x:c>
      <x:c r="C504" s="4" t="n">
        <x:v>9</x:v>
      </x:c>
      <x:c r="D504" s="4" t="str">
        <x:v>图形、多媒体与实时应用</x:v>
      </x:c>
      <x:c r="E504" s="4" t="str">
        <x:v>本地证据分类</x:v>
      </x:c>
      <x:c r="F504" s="4" t="n">
        <x:v>1</x:v>
      </x:c>
      <x:c r="G504" s="4" t="str">
        <x:v>软件项目</x:v>
      </x:c>
      <x:c r="H504" s="4" t="str">
        <x:v>媒体/图形</x:v>
      </x:c>
      <x:c r="I504" s="4" t="str">
        <x:v>桌面、TUI 与跨端应用</x:v>
      </x:c>
      <x:c r="J504" s="4" t="str">
        <x:v>C/C++</x:v>
      </x:c>
      <x:c r="K504" s="4" t="str">
        <x:v>未获取</x:v>
      </x:c>
      <x:c r="L504" s="4" t="str">
        <x:v>GTK</x:v>
      </x:c>
      <x:c r="M504" s="4" t="n">
        <x:v>1</x:v>
      </x:c>
      <x:c r="N504" s="4" t="n">
        <x:v>1</x:v>
      </x:c>
      <x:c r="O504" s="4" t="n">
        <x:v>0</x:v>
      </x:c>
      <x:c r="P504" s="9" t="n">
        <x:v>0</x:v>
      </x:c>
      <x:c r="Q504" s="4"/>
      <x:c r="R504" s="4" t="str">
        <x:v>项目名称/框架的明确功能定位；未逐一在线核验README</x:v>
      </x:c>
      <x:c r="S504" s="4" t="str">
        <x:v>鸿蒙开源项目列表</x:v>
      </x:c>
      <x:c r="T504" s="4" t="n">
        <x:v>502</x:v>
      </x:c>
      <x:c r="U504" s="4" t="str">
        <x:v>https://github.com/HandBrake/HandBrake</x:v>
      </x:c>
      <x:c r="V504" s="4" t="str">
        <x:v>handbrake/handbrake</x:v>
      </x:c>
    </x:row>
    <x:row r="505" ht="44" customHeight="1">
      <x:c r="A505" s="4" t="n">
        <x:v>500</x:v>
      </x:c>
      <x:c r="B505" s="4" t="str">
        <x:v>Harmonix</x:v>
      </x:c>
      <x:c r="C505" s="4"/>
      <x:c r="D505" s="4" t="str">
        <x:v>未归入15类</x:v>
      </x:c>
      <x:c r="E505" s="4" t="str">
        <x:v>范围排除</x:v>
      </x:c>
      <x:c r="F505" s="4" t="n">
        <x:v>0</x:v>
      </x:c>
      <x:c r="G505" s="4" t="str">
        <x:v>平台应用/非三方库</x:v>
      </x:c>
      <x:c r="H505" s="4" t="str">
        <x:v>平台依赖</x:v>
      </x:c>
      <x:c r="I505" s="4" t="str">
        <x:v>当前页面未列入</x:v>
      </x:c>
      <x:c r="J505" s="4" t="str">
        <x:v>ArkTS</x:v>
      </x:c>
      <x:c r="K505" s="4" t="str">
        <x:v>未获取</x:v>
      </x:c>
      <x:c r="L505" s="4" t="str">
        <x:v>ArkUI</x:v>
      </x:c>
      <x:c r="M505" s="4" t="n">
        <x:v>0</x:v>
      </x:c>
      <x:c r="N505" s="4"/>
      <x:c r="O505" s="4"/>
      <x:c r="P505" s="9"/>
      <x:c r="Q505" s="4"/>
      <x:c r="R505" s="4" t="str">
        <x:v>源表标记ArkTS或ArkUI；单列平台范围，不计三方库验证分母</x:v>
      </x:c>
      <x:c r="S505" s="4" t="str">
        <x:v>鸿蒙开源项目列表</x:v>
      </x:c>
      <x:c r="T505" s="4" t="n">
        <x:v>503</x:v>
      </x:c>
      <x:c r="U505" s="4" t="str">
        <x:v>https://github.com/harmoninux/Harmonix</x:v>
      </x:c>
      <x:c r="V505" s="4" t="str">
        <x:v>harmoninux/harmonix</x:v>
      </x:c>
    </x:row>
    <x:row r="506" ht="44" customHeight="1">
      <x:c r="A506" s="4" t="n">
        <x:v>501</x:v>
      </x:c>
      <x:c r="B506" s="4" t="str">
        <x:v>HarmonyOpenEye</x:v>
      </x:c>
      <x:c r="C506" s="4"/>
      <x:c r="D506" s="4" t="str">
        <x:v>未归入15类</x:v>
      </x:c>
      <x:c r="E506" s="4" t="str">
        <x:v>范围排除</x:v>
      </x:c>
      <x:c r="F506" s="4" t="n">
        <x:v>0</x:v>
      </x:c>
      <x:c r="G506" s="4" t="str">
        <x:v>平台应用/非三方库</x:v>
      </x:c>
      <x:c r="H506" s="4" t="str">
        <x:v>平台依赖</x:v>
      </x:c>
      <x:c r="I506" s="4" t="str">
        <x:v>当前页面未列入</x:v>
      </x:c>
      <x:c r="J506" s="4" t="str">
        <x:v>ArkTS</x:v>
      </x:c>
      <x:c r="K506" s="4" t="str">
        <x:v>未获取</x:v>
      </x:c>
      <x:c r="L506" s="4" t="str">
        <x:v>ArkUI</x:v>
      </x:c>
      <x:c r="M506" s="4" t="n">
        <x:v>0</x:v>
      </x:c>
      <x:c r="N506" s="4"/>
      <x:c r="O506" s="4"/>
      <x:c r="P506" s="9"/>
      <x:c r="Q506" s="4"/>
      <x:c r="R506" s="4" t="str">
        <x:v>源表标记ArkTS或ArkUI；单列平台范围，不计三方库验证分母</x:v>
      </x:c>
      <x:c r="S506" s="4" t="str">
        <x:v>鸿蒙开源项目列表</x:v>
      </x:c>
      <x:c r="T506" s="4" t="n">
        <x:v>504</x:v>
      </x:c>
      <x:c r="U506" s="4" t="str">
        <x:v>https://github.com/WinWang/HarmoneyOpenEye</x:v>
      </x:c>
      <x:c r="V506" s="4" t="str">
        <x:v>winwang/harmoneyopeneye</x:v>
      </x:c>
    </x:row>
    <x:row r="507" ht="44" customHeight="1">
      <x:c r="A507" s="4" t="n">
        <x:v>502</x:v>
      </x:c>
      <x:c r="B507" s="4" t="str">
        <x:v>ImageJ</x:v>
      </x:c>
      <x:c r="C507" s="4" t="n">
        <x:v>9</x:v>
      </x:c>
      <x:c r="D507" s="4" t="str">
        <x:v>图形、多媒体与实时应用</x:v>
      </x:c>
      <x:c r="E507" s="4" t="str">
        <x:v>本地证据分类</x:v>
      </x:c>
      <x:c r="F507" s="4" t="n">
        <x:v>1</x:v>
      </x:c>
      <x:c r="G507" s="4" t="str">
        <x:v>软件项目</x:v>
      </x:c>
      <x:c r="H507" s="4" t="str">
        <x:v>媒体/图形</x:v>
      </x:c>
      <x:c r="I507" s="4" t="str">
        <x:v>当前页面未列入</x:v>
      </x:c>
      <x:c r="J507" s="4" t="str">
        <x:v>Java</x:v>
      </x:c>
      <x:c r="K507" s="4" t="str">
        <x:v>未获取</x:v>
      </x:c>
      <x:c r="L507" s="4" t="str">
        <x:v>Swing</x:v>
      </x:c>
      <x:c r="M507" s="4" t="n">
        <x:v>0</x:v>
      </x:c>
      <x:c r="N507" s="4"/>
      <x:c r="O507" s="4"/>
      <x:c r="P507" s="9"/>
      <x:c r="Q507" s="4"/>
      <x:c r="R507" s="4" t="str">
        <x:v>项目名称/框架的明确功能定位；未逐一在线核验README</x:v>
      </x:c>
      <x:c r="S507" s="4" t="str">
        <x:v>鸿蒙开源项目列表</x:v>
      </x:c>
      <x:c r="T507" s="4" t="n">
        <x:v>505</x:v>
      </x:c>
      <x:c r="U507" s="4" t="str">
        <x:v>https://github.com/imagej/imagej</x:v>
      </x:c>
      <x:c r="V507" s="4" t="str">
        <x:v>imagej/imagej</x:v>
      </x:c>
    </x:row>
    <x:row r="508" ht="44" customHeight="1">
      <x:c r="A508" s="4" t="n">
        <x:v>503</x:v>
      </x:c>
      <x:c r="B508" s="4" t="str">
        <x:v>Inkscape</x:v>
      </x:c>
      <x:c r="C508" s="4" t="n">
        <x:v>9</x:v>
      </x:c>
      <x:c r="D508" s="4" t="str">
        <x:v>图形、多媒体与实时应用</x:v>
      </x:c>
      <x:c r="E508" s="4" t="str">
        <x:v>本地证据分类</x:v>
      </x:c>
      <x:c r="F508" s="4" t="n">
        <x:v>1</x:v>
      </x:c>
      <x:c r="G508" s="4" t="str">
        <x:v>软件项目</x:v>
      </x:c>
      <x:c r="H508" s="4" t="str">
        <x:v>媒体/图形</x:v>
      </x:c>
      <x:c r="I508" s="4" t="str">
        <x:v>桌面、TUI 与跨端应用</x:v>
      </x:c>
      <x:c r="J508" s="4" t="str">
        <x:v>C/C++</x:v>
      </x:c>
      <x:c r="K508" s="4" t="str">
        <x:v>未获取</x:v>
      </x:c>
      <x:c r="L508" s="4" t="str">
        <x:v>GTK</x:v>
      </x:c>
      <x:c r="M508" s="4" t="n">
        <x:v>1</x:v>
      </x:c>
      <x:c r="N508" s="4" t="n">
        <x:v>1</x:v>
      </x:c>
      <x:c r="O508" s="4" t="n">
        <x:v>1</x:v>
      </x:c>
      <x:c r="P508" s="9" t="n">
        <x:v>1</x:v>
      </x:c>
      <x:c r="Q508" s="4"/>
      <x:c r="R508" s="4" t="str">
        <x:v>项目名称/框架的明确功能定位；未逐一在线核验README</x:v>
      </x:c>
      <x:c r="S508" s="4" t="str">
        <x:v>鸿蒙开源项目列表</x:v>
      </x:c>
      <x:c r="T508" s="4" t="n">
        <x:v>506</x:v>
      </x:c>
      <x:c r="U508" s="4" t="str">
        <x:v>https://github.com/inkscape/inkscape</x:v>
      </x:c>
      <x:c r="V508" s="4" t="str">
        <x:v>inkscape/inkscape</x:v>
      </x:c>
    </x:row>
    <x:row r="509" ht="44" customHeight="1">
      <x:c r="A509" s="4" t="n">
        <x:v>504</x:v>
      </x:c>
      <x:c r="B509" s="4" t="str">
        <x:v>JabRef</x:v>
      </x:c>
      <x:c r="C509" s="4" t="n">
        <x:v>10</x:v>
      </x:c>
      <x:c r="D509" s="4" t="str">
        <x:v>文档与办公数据处理</x:v>
      </x:c>
      <x:c r="E509" s="4" t="str">
        <x:v>本地证据分类</x:v>
      </x:c>
      <x:c r="F509" s="4" t="n">
        <x:v>1</x:v>
      </x:c>
      <x:c r="G509" s="4" t="str">
        <x:v>软件项目</x:v>
      </x:c>
      <x:c r="H509" s="4" t="str">
        <x:v>文档/知识内容</x:v>
      </x:c>
      <x:c r="I509" s="4" t="str">
        <x:v>当前页面未列入</x:v>
      </x:c>
      <x:c r="J509" s="4" t="str">
        <x:v>Java</x:v>
      </x:c>
      <x:c r="K509" s="4" t="str">
        <x:v>未获取</x:v>
      </x:c>
      <x:c r="L509" s="4" t="str">
        <x:v>JavaFX</x:v>
      </x:c>
      <x:c r="M509" s="4" t="n">
        <x:v>0</x:v>
      </x:c>
      <x:c r="N509" s="4"/>
      <x:c r="O509" s="4"/>
      <x:c r="P509" s="9"/>
      <x:c r="Q509" s="4"/>
      <x:c r="R509" s="4" t="str">
        <x:v>项目名称/框架的明确功能定位；未逐一在线核验README</x:v>
      </x:c>
      <x:c r="S509" s="4" t="str">
        <x:v>鸿蒙开源项目列表</x:v>
      </x:c>
      <x:c r="T509" s="4" t="n">
        <x:v>507</x:v>
      </x:c>
      <x:c r="U509" s="4" t="str">
        <x:v>https://github.com/JabRef/jabref</x:v>
      </x:c>
      <x:c r="V509" s="4" t="str">
        <x:v>jabref/jabref</x:v>
      </x:c>
    </x:row>
    <x:row r="510" ht="44" customHeight="1">
      <x:c r="A510" s="4" t="n">
        <x:v>505</x:v>
      </x:c>
      <x:c r="B510" s="4" t="str">
        <x:v>Java</x:v>
      </x:c>
      <x:c r="C510" s="4"/>
      <x:c r="D510" s="4" t="str">
        <x:v>未归入15类</x:v>
      </x:c>
      <x:c r="E510" s="4" t="str">
        <x:v>范围排除</x:v>
      </x:c>
      <x:c r="F510" s="4" t="n">
        <x:v>0</x:v>
      </x:c>
      <x:c r="G510" s="4" t="str">
        <x:v>教程/资源/技能资产</x:v>
      </x:c>
      <x:c r="H510" s="4" t="str">
        <x:v>知识/数据资产</x:v>
      </x:c>
      <x:c r="I510" s="4" t="str">
        <x:v>当前页面未列入</x:v>
      </x:c>
      <x:c r="J510" s="4" t="str">
        <x:v>Java</x:v>
      </x:c>
      <x:c r="K510" s="4" t="str">
        <x:v>未获取</x:v>
      </x:c>
      <x:c r="L510" s="4" t="str">
        <x:v>N/A</x:v>
      </x:c>
      <x:c r="M510" s="4" t="n">
        <x:v>0</x:v>
      </x:c>
      <x:c r="N510" s="4"/>
      <x:c r="O510" s="4"/>
      <x:c r="P510" s="9"/>
      <x:c r="Q510" s="4"/>
      <x:c r="R510" s="4" t="str">
        <x:v>按项目名称与已获取定位识别为知识、数据或技能资源；非独立软件能力证据</x:v>
      </x:c>
      <x:c r="S510" s="4" t="str">
        <x:v>鸿蒙开源项目列表</x:v>
      </x:c>
      <x:c r="T510" s="4" t="n">
        <x:v>508</x:v>
      </x:c>
      <x:c r="U510" s="4" t="str">
        <x:v>https://github.com/TheAlgorithms/Java</x:v>
      </x:c>
      <x:c r="V510" s="4" t="str">
        <x:v>thealgorithms/java</x:v>
      </x:c>
    </x:row>
    <x:row r="511" ht="44" customHeight="1">
      <x:c r="A511" s="4" t="n">
        <x:v>506</x:v>
      </x:c>
      <x:c r="B511" s="4" t="str">
        <x:v>Karing Harmony HAP</x:v>
      </x:c>
      <x:c r="C511" s="4"/>
      <x:c r="D511" s="4" t="str">
        <x:v>未归入15类</x:v>
      </x:c>
      <x:c r="E511" s="4" t="str">
        <x:v>范围排除</x:v>
      </x:c>
      <x:c r="F511" s="4" t="n">
        <x:v>0</x:v>
      </x:c>
      <x:c r="G511" s="4" t="str">
        <x:v>平台应用/非三方库</x:v>
      </x:c>
      <x:c r="H511" s="4" t="str">
        <x:v>平台依赖</x:v>
      </x:c>
      <x:c r="I511" s="4" t="str">
        <x:v>当前页面未列入</x:v>
      </x:c>
      <x:c r="J511" s="4" t="str">
        <x:v>ArkTS</x:v>
      </x:c>
      <x:c r="K511" s="4" t="str">
        <x:v>未获取</x:v>
      </x:c>
      <x:c r="L511" s="4" t="str">
        <x:v>ArkUI</x:v>
      </x:c>
      <x:c r="M511" s="4" t="n">
        <x:v>0</x:v>
      </x:c>
      <x:c r="N511" s="4"/>
      <x:c r="O511" s="4"/>
      <x:c r="P511" s="9"/>
      <x:c r="Q511" s="4"/>
      <x:c r="R511" s="4" t="str">
        <x:v>源表标记ArkTS或ArkUI；单列平台范围，不计三方库验证分母</x:v>
      </x:c>
      <x:c r="S511" s="4" t="str">
        <x:v>鸿蒙开源项目列表</x:v>
      </x:c>
      <x:c r="T511" s="4" t="n">
        <x:v>509</x:v>
      </x:c>
      <x:c r="U511" s="4" t="str">
        <x:v>https://github.com/ks-lm-kf/harmony-kslmkf-karing-hap</x:v>
      </x:c>
      <x:c r="V511" s="4" t="str">
        <x:v>ks-lm-kf/harmony-kslmkf-karing-hap</x:v>
      </x:c>
    </x:row>
    <x:row r="512" ht="44" customHeight="1">
      <x:c r="A512" s="4" t="n">
        <x:v>507</x:v>
      </x:c>
      <x:c r="B512" s="4" t="str">
        <x:v>Krita</x:v>
      </x:c>
      <x:c r="C512" s="4" t="n">
        <x:v>9</x:v>
      </x:c>
      <x:c r="D512" s="4" t="str">
        <x:v>图形、多媒体与实时应用</x:v>
      </x:c>
      <x:c r="E512" s="4" t="str">
        <x:v>本地证据分类</x:v>
      </x:c>
      <x:c r="F512" s="4" t="n">
        <x:v>1</x:v>
      </x:c>
      <x:c r="G512" s="4" t="str">
        <x:v>软件项目</x:v>
      </x:c>
      <x:c r="H512" s="4" t="str">
        <x:v>媒体/图形</x:v>
      </x:c>
      <x:c r="I512" s="4" t="str">
        <x:v>桌面、TUI 与跨端应用</x:v>
      </x:c>
      <x:c r="J512" s="4" t="str">
        <x:v>C/C++</x:v>
      </x:c>
      <x:c r="K512" s="4" t="str">
        <x:v>未获取</x:v>
      </x:c>
      <x:c r="L512" s="4" t="str">
        <x:v>Qt</x:v>
      </x:c>
      <x:c r="M512" s="4" t="n">
        <x:v>1</x:v>
      </x:c>
      <x:c r="N512" s="4" t="n">
        <x:v>1</x:v>
      </x:c>
      <x:c r="O512" s="4" t="n">
        <x:v>1</x:v>
      </x:c>
      <x:c r="P512" s="9" t="n">
        <x:v>1</x:v>
      </x:c>
      <x:c r="Q512" s="4"/>
      <x:c r="R512" s="4" t="str">
        <x:v>项目名称/框架的明确功能定位；未逐一在线核验README</x:v>
      </x:c>
      <x:c r="S512" s="4" t="str">
        <x:v>鸿蒙开源项目列表</x:v>
      </x:c>
      <x:c r="T512" s="4" t="n">
        <x:v>510</x:v>
      </x:c>
      <x:c r="U512" s="4" t="str">
        <x:v>https://github.com/KDE/krita</x:v>
      </x:c>
      <x:c r="V512" s="4" t="str">
        <x:v>kde/krita</x:v>
      </x:c>
    </x:row>
    <x:row r="513" ht="44" customHeight="1">
      <x:c r="A513" s="4" t="n">
        <x:v>508</x:v>
      </x:c>
      <x:c r="B513" s="4" t="str">
        <x:v>LeetCodeAnimation</x:v>
      </x:c>
      <x:c r="C513" s="4"/>
      <x:c r="D513" s="4" t="str">
        <x:v>未归入15类</x:v>
      </x:c>
      <x:c r="E513" s="4" t="str">
        <x:v>范围排除</x:v>
      </x:c>
      <x:c r="F513" s="4" t="n">
        <x:v>0</x:v>
      </x:c>
      <x:c r="G513" s="4" t="str">
        <x:v>教程/资源/技能资产</x:v>
      </x:c>
      <x:c r="H513" s="4" t="str">
        <x:v>知识/数据资产</x:v>
      </x:c>
      <x:c r="I513" s="4" t="str">
        <x:v>当前页面未列入</x:v>
      </x:c>
      <x:c r="J513" s="4" t="str">
        <x:v>Java</x:v>
      </x:c>
      <x:c r="K513" s="4" t="str">
        <x:v>未获取</x:v>
      </x:c>
      <x:c r="L513" s="4" t="str">
        <x:v>N/A</x:v>
      </x:c>
      <x:c r="M513" s="4" t="n">
        <x:v>0</x:v>
      </x:c>
      <x:c r="N513" s="4"/>
      <x:c r="O513" s="4"/>
      <x:c r="P513" s="9"/>
      <x:c r="Q513" s="4"/>
      <x:c r="R513" s="4" t="str">
        <x:v>按项目名称与已获取定位识别为知识、数据或技能资源；非独立软件能力证据</x:v>
      </x:c>
      <x:c r="S513" s="4" t="str">
        <x:v>鸿蒙开源项目列表</x:v>
      </x:c>
      <x:c r="T513" s="4" t="n">
        <x:v>511</x:v>
      </x:c>
      <x:c r="U513" s="4" t="str">
        <x:v>https://github.com/MisterBooo/LeetCodeAnimation</x:v>
      </x:c>
      <x:c r="V513" s="4" t="str">
        <x:v>misterbooo/leetcodeanimation</x:v>
      </x:c>
    </x:row>
    <x:row r="514" ht="44" customHeight="1">
      <x:c r="A514" s="4" t="n">
        <x:v>509</x:v>
      </x:c>
      <x:c r="B514" s="4" t="str">
        <x:v>MediaCrawler</x:v>
      </x:c>
      <x:c r="C514" s="4" t="n">
        <x:v>12</x:v>
      </x:c>
      <x:c r="D514" s="4" t="str">
        <x:v>办公软件与桌面操作自动化</x:v>
      </x:c>
      <x:c r="E514" s="4" t="str">
        <x:v>本地证据分类</x:v>
      </x:c>
      <x:c r="F514" s="4" t="n">
        <x:v>0</x:v>
      </x:c>
      <x:c r="G514" s="4" t="str">
        <x:v>软件项目</x:v>
      </x:c>
      <x:c r="H514" s="4" t="str">
        <x:v>办公/浏览器执行</x:v>
      </x:c>
      <x:c r="I514" s="4" t="str">
        <x:v>浏览器自动化与数据采集</x:v>
      </x:c>
      <x:c r="J514" s="4" t="str">
        <x:v>Python</x:v>
      </x:c>
      <x:c r="K514" s="4" t="str">
        <x:v>未获取</x:v>
      </x:c>
      <x:c r="L514" s="4" t="str">
        <x:v>N/A</x:v>
      </x:c>
      <x:c r="M514" s="4" t="n">
        <x:v>0</x:v>
      </x:c>
      <x:c r="N514" s="4" t="n">
        <x:v>6</x:v>
      </x:c>
      <x:c r="O514" s="4" t="n">
        <x:v>5</x:v>
      </x:c>
      <x:c r="P514" s="9" t="n">
        <x:v>0.8333333333333334</x:v>
      </x:c>
      <x:c r="Q514" s="4" t="n">
        <x:v>74</x:v>
      </x:c>
      <x:c r="R514" s="4" t="str">
        <x:v>项目名称/框架的明确功能定位；未逐一在线核验README</x:v>
      </x:c>
      <x:c r="S514" s="4" t="str">
        <x:v>鸿蒙开源项目列表</x:v>
      </x:c>
      <x:c r="T514" s="4" t="n">
        <x:v>512</x:v>
      </x:c>
      <x:c r="U514" s="4" t="str">
        <x:v>https://github.com/NanmiCoder/MediaCrawler</x:v>
      </x:c>
      <x:c r="V514" s="4" t="str">
        <x:v>nanmicoder/mediacrawler</x:v>
      </x:c>
    </x:row>
    <x:row r="515" ht="44" customHeight="1">
      <x:c r="A515" s="4" t="n">
        <x:v>510</x:v>
      </x:c>
      <x:c r="B515" s="4" t="str">
        <x:v>OBS Studio</x:v>
      </x:c>
      <x:c r="C515" s="4" t="n">
        <x:v>9</x:v>
      </x:c>
      <x:c r="D515" s="4" t="str">
        <x:v>图形、多媒体与实时应用</x:v>
      </x:c>
      <x:c r="E515" s="4" t="str">
        <x:v>本地证据分类</x:v>
      </x:c>
      <x:c r="F515" s="4" t="n">
        <x:v>1</x:v>
      </x:c>
      <x:c r="G515" s="4" t="str">
        <x:v>软件项目</x:v>
      </x:c>
      <x:c r="H515" s="4" t="str">
        <x:v>媒体/图形</x:v>
      </x:c>
      <x:c r="I515" s="4" t="str">
        <x:v>桌面、TUI 与跨端应用</x:v>
      </x:c>
      <x:c r="J515" s="4" t="str">
        <x:v>C/C++</x:v>
      </x:c>
      <x:c r="K515" s="4" t="str">
        <x:v>未获取</x:v>
      </x:c>
      <x:c r="L515" s="4" t="str">
        <x:v>Qt</x:v>
      </x:c>
      <x:c r="M515" s="4" t="n">
        <x:v>1</x:v>
      </x:c>
      <x:c r="N515" s="4" t="n">
        <x:v>1</x:v>
      </x:c>
      <x:c r="O515" s="4" t="n">
        <x:v>1</x:v>
      </x:c>
      <x:c r="P515" s="9" t="n">
        <x:v>1</x:v>
      </x:c>
      <x:c r="Q515" s="4"/>
      <x:c r="R515" s="4" t="str">
        <x:v>项目名称/框架的明确功能定位；未逐一在线核验README</x:v>
      </x:c>
      <x:c r="S515" s="4" t="str">
        <x:v>鸿蒙开源项目列表</x:v>
      </x:c>
      <x:c r="T515" s="4" t="n">
        <x:v>513</x:v>
      </x:c>
      <x:c r="U515" s="4" t="str">
        <x:v>https://github.com/obsproject/obs-studio</x:v>
      </x:c>
      <x:c r="V515" s="4" t="str">
        <x:v>obsproject/obs-studio</x:v>
      </x:c>
    </x:row>
    <x:row r="516" ht="44" customHeight="1">
      <x:c r="A516" s="4" t="n">
        <x:v>511</x:v>
      </x:c>
      <x:c r="B516" s="4" t="str">
        <x:v>OCRmyPDF</x:v>
      </x:c>
      <x:c r="C516" s="4" t="n">
        <x:v>10</x:v>
      </x:c>
      <x:c r="D516" s="4" t="str">
        <x:v>文档与办公数据处理</x:v>
      </x:c>
      <x:c r="E516" s="4" t="str">
        <x:v>本地证据分类</x:v>
      </x:c>
      <x:c r="F516" s="4" t="n">
        <x:v>1</x:v>
      </x:c>
      <x:c r="G516" s="4" t="str">
        <x:v>软件项目</x:v>
      </x:c>
      <x:c r="H516" s="4" t="str">
        <x:v>文档/知识内容</x:v>
      </x:c>
      <x:c r="I516" s="4" t="str">
        <x:v>办公文档与知识管理</x:v>
      </x:c>
      <x:c r="J516" s="4" t="str">
        <x:v>Python</x:v>
      </x:c>
      <x:c r="K516" s="4" t="str">
        <x:v>未获取</x:v>
      </x:c>
      <x:c r="L516" s="4" t="str">
        <x:v>N/A</x:v>
      </x:c>
      <x:c r="M516" s="4" t="n">
        <x:v>1</x:v>
      </x:c>
      <x:c r="N516" s="4" t="n">
        <x:v>1</x:v>
      </x:c>
      <x:c r="O516" s="4" t="n">
        <x:v>0</x:v>
      </x:c>
      <x:c r="P516" s="9" t="n">
        <x:v>0</x:v>
      </x:c>
      <x:c r="Q516" s="4"/>
      <x:c r="R516" s="4" t="str">
        <x:v>项目名称/框架的明确功能定位；未逐一在线核验README</x:v>
      </x:c>
      <x:c r="S516" s="4" t="str">
        <x:v>鸿蒙开源项目列表</x:v>
      </x:c>
      <x:c r="T516" s="4" t="n">
        <x:v>514</x:v>
      </x:c>
      <x:c r="U516" s="4" t="str">
        <x:v>https://github.com/ocrmypdf/OCRmyPDF</x:v>
      </x:c>
      <x:c r="V516" s="4" t="str">
        <x:v>ocrmypdf/ocrmypdf</x:v>
      </x:c>
    </x:row>
    <x:row r="517" ht="44" customHeight="1">
      <x:c r="A517" s="4" t="n">
        <x:v>512</x:v>
      </x:c>
      <x:c r="B517" s="4" t="str">
        <x:v>OH哔哩</x:v>
      </x:c>
      <x:c r="C517" s="4"/>
      <x:c r="D517" s="4" t="str">
        <x:v>未归入15类</x:v>
      </x:c>
      <x:c r="E517" s="4" t="str">
        <x:v>范围排除</x:v>
      </x:c>
      <x:c r="F517" s="4" t="n">
        <x:v>0</x:v>
      </x:c>
      <x:c r="G517" s="4" t="str">
        <x:v>平台应用/非三方库</x:v>
      </x:c>
      <x:c r="H517" s="4" t="str">
        <x:v>平台依赖</x:v>
      </x:c>
      <x:c r="I517" s="4" t="str">
        <x:v>桌面、TUI 与跨端应用</x:v>
      </x:c>
      <x:c r="J517" s="4" t="str">
        <x:v>ArkTS</x:v>
      </x:c>
      <x:c r="K517" s="4" t="str">
        <x:v>未获取</x:v>
      </x:c>
      <x:c r="L517" s="4" t="str">
        <x:v>ArkUI</x:v>
      </x:c>
      <x:c r="M517" s="4" t="n">
        <x:v>8</x:v>
      </x:c>
      <x:c r="N517" s="4" t="n">
        <x:v>8</x:v>
      </x:c>
      <x:c r="O517" s="4" t="n">
        <x:v>1</x:v>
      </x:c>
      <x:c r="P517" s="9" t="n">
        <x:v>0.125</x:v>
      </x:c>
      <x:c r="Q517" s="4"/>
      <x:c r="R517" s="4" t="str">
        <x:v>源表标记ArkTS或ArkUI；单列平台范围，不计三方库验证分母</x:v>
      </x:c>
      <x:c r="S517" s="4" t="str">
        <x:v>鸿蒙开源项目列表</x:v>
      </x:c>
      <x:c r="T517" s="4" t="n">
        <x:v>515</x:v>
      </x:c>
      <x:c r="U517" s="4" t="str">
        <x:v>https://gitee.com/ohos_port/ohbili</x:v>
      </x:c>
      <x:c r="V517" s="4" t="str">
        <x:v>https://gitee.com/ohos_port/ohbili</x:v>
      </x:c>
    </x:row>
    <x:row r="518" ht="44" customHeight="1">
      <x:c r="A518" s="4" t="n">
        <x:v>513</x:v>
      </x:c>
      <x:c r="B518" s="4" t="str">
        <x:v>OctoPrint</x:v>
      </x:c>
      <x:c r="C518" s="4"/>
      <x:c r="D518" s="4" t="str">
        <x:v>未归入15类</x:v>
      </x:c>
      <x:c r="E518" s="4" t="str">
        <x:v>范围待决</x:v>
      </x:c>
      <x:c r="F518" s="4" t="n">
        <x:v>1</x:v>
      </x:c>
      <x:c r="G518" s="4" t="str">
        <x:v>软件项目</x:v>
      </x:c>
      <x:c r="H518" s="4" t="str">
        <x:v>IoT/机器人/工业控制</x:v>
      </x:c>
      <x:c r="I518" s="4" t="str">
        <x:v>当前页面未列入</x:v>
      </x:c>
      <x:c r="J518" s="4" t="str">
        <x:v>Python</x:v>
      </x:c>
      <x:c r="K518" s="4" t="str">
        <x:v>未获取</x:v>
      </x:c>
      <x:c r="L518" s="4" t="str">
        <x:v>未记录</x:v>
      </x:c>
      <x:c r="M518" s="4" t="n">
        <x:v>0</x:v>
      </x:c>
      <x:c r="N518" s="4"/>
      <x:c r="O518" s="4"/>
      <x:c r="P518" s="9"/>
      <x:c r="Q518" s="4"/>
      <x:c r="R518" s="4" t="str">
        <x:v>设备控制、机器人或区块链具有独立领域语义，当前15类需跨类组合及行业标签</x:v>
      </x:c>
      <x:c r="S518" s="4" t="str">
        <x:v>鸿蒙开源项目列表</x:v>
      </x:c>
      <x:c r="T518" s="4" t="n">
        <x:v>516</x:v>
      </x:c>
      <x:c r="U518" s="4" t="str">
        <x:v>https://github.com/OctoPrint/OctoPrint</x:v>
      </x:c>
      <x:c r="V518" s="4" t="str">
        <x:v>octoprint/octoprint</x:v>
      </x:c>
    </x:row>
    <x:row r="519" ht="44" customHeight="1">
      <x:c r="A519" s="4" t="n">
        <x:v>514</x:v>
      </x:c>
      <x:c r="B519" s="4" t="str">
        <x:v>OpenBB</x:v>
      </x:c>
      <x:c r="C519" s="4" t="n">
        <x:v>8</x:v>
      </x:c>
      <x:c r="D519" s="4" t="str">
        <x:v>数据处理与科学计算</x:v>
      </x:c>
      <x:c r="E519" s="4" t="str">
        <x:v>本地证据分类</x:v>
      </x:c>
      <x:c r="F519" s="4" t="n">
        <x:v>1</x:v>
      </x:c>
      <x:c r="G519" s="4" t="str">
        <x:v>软件项目</x:v>
      </x:c>
      <x:c r="H519" s="4" t="str">
        <x:v>数据/行业分析</x:v>
      </x:c>
      <x:c r="I519" s="4" t="str">
        <x:v>当前页面未列入</x:v>
      </x:c>
      <x:c r="J519" s="4" t="str">
        <x:v>Python</x:v>
      </x:c>
      <x:c r="K519" s="4" t="str">
        <x:v>未获取</x:v>
      </x:c>
      <x:c r="L519" s="4" t="str">
        <x:v>N/A</x:v>
      </x:c>
      <x:c r="M519" s="4" t="n">
        <x:v>0</x:v>
      </x:c>
      <x:c r="N519" s="4"/>
      <x:c r="O519" s="4"/>
      <x:c r="P519" s="9"/>
      <x:c r="Q519" s="4"/>
      <x:c r="R519" s="4" t="str">
        <x:v>项目名称/框架的明确功能定位；未逐一在线核验README</x:v>
      </x:c>
      <x:c r="S519" s="4" t="str">
        <x:v>鸿蒙开源项目列表</x:v>
      </x:c>
      <x:c r="T519" s="4" t="n">
        <x:v>517</x:v>
      </x:c>
      <x:c r="U519" s="4" t="str">
        <x:v>https://github.com/OpenBB-finance/OpenBB</x:v>
      </x:c>
      <x:c r="V519" s="4" t="str">
        <x:v>openbb-finance/openbb</x:v>
      </x:c>
    </x:row>
    <x:row r="520" ht="44" customHeight="1">
      <x:c r="A520" s="4" t="n">
        <x:v>515</x:v>
      </x:c>
      <x:c r="B520" s="4" t="str">
        <x:v>OpenShot</x:v>
      </x:c>
      <x:c r="C520" s="4" t="n">
        <x:v>9</x:v>
      </x:c>
      <x:c r="D520" s="4" t="str">
        <x:v>图形、多媒体与实时应用</x:v>
      </x:c>
      <x:c r="E520" s="4" t="str">
        <x:v>本地证据分类</x:v>
      </x:c>
      <x:c r="F520" s="4" t="n">
        <x:v>1</x:v>
      </x:c>
      <x:c r="G520" s="4" t="str">
        <x:v>软件项目</x:v>
      </x:c>
      <x:c r="H520" s="4" t="str">
        <x:v>媒体/图形</x:v>
      </x:c>
      <x:c r="I520" s="4" t="str">
        <x:v>当前页面未列入</x:v>
      </x:c>
      <x:c r="J520" s="4" t="str">
        <x:v>Python</x:v>
      </x:c>
      <x:c r="K520" s="4" t="str">
        <x:v>未获取</x:v>
      </x:c>
      <x:c r="L520" s="4" t="str">
        <x:v>PyQt</x:v>
      </x:c>
      <x:c r="M520" s="4" t="n">
        <x:v>0</x:v>
      </x:c>
      <x:c r="N520" s="4"/>
      <x:c r="O520" s="4"/>
      <x:c r="P520" s="9"/>
      <x:c r="Q520" s="4"/>
      <x:c r="R520" s="4" t="str">
        <x:v>项目名称/框架的明确功能定位；未逐一在线核验README</x:v>
      </x:c>
      <x:c r="S520" s="4" t="str">
        <x:v>鸿蒙开源项目列表</x:v>
      </x:c>
      <x:c r="T520" s="4" t="n">
        <x:v>518</x:v>
      </x:c>
      <x:c r="U520" s="4" t="str">
        <x:v>https://github.com/OpenShot/openshot-qt</x:v>
      </x:c>
      <x:c r="V520" s="4" t="str">
        <x:v>openshot/openshot-qt</x:v>
      </x:c>
    </x:row>
    <x:row r="521" ht="44" customHeight="1">
      <x:c r="A521" s="4" t="n">
        <x:v>516</x:v>
      </x:c>
      <x:c r="B521" s="4" t="str">
        <x:v>PaddleOCR</x:v>
      </x:c>
      <x:c r="C521" s="4" t="n">
        <x:v>11</x:v>
      </x:c>
      <x:c r="D521" s="4" t="str">
        <x:v>AI模型与机器学习</x:v>
      </x:c>
      <x:c r="E521" s="4" t="str">
        <x:v>元数据已核验</x:v>
      </x:c>
      <x:c r="F521" s="4" t="n">
        <x:v>1</x:v>
      </x:c>
      <x:c r="G521" s="4" t="str">
        <x:v>软件项目</x:v>
      </x:c>
      <x:c r="H521" s="4" t="str">
        <x:v>AI模型/推理</x:v>
      </x:c>
      <x:c r="I521" s="4" t="str">
        <x:v>当前页面未列入</x:v>
      </x:c>
      <x:c r="J521" s="4" t="str">
        <x:v>Python</x:v>
      </x:c>
      <x:c r="K521" s="4" t="str">
        <x:v>Python</x:v>
      </x:c>
      <x:c r="L521" s="4" t="str">
        <x:v>N/A</x:v>
      </x:c>
      <x:c r="M521" s="4" t="n">
        <x:v>0</x:v>
      </x:c>
      <x:c r="N521" s="4"/>
      <x:c r="O521" s="4"/>
      <x:c r="P521" s="9"/>
      <x:c r="Q521" s="4"/>
      <x:c r="R521" s="4" t="str">
        <x:v>项目定位与GitHub描述人工对照</x:v>
      </x:c>
      <x:c r="S521" s="4" t="str">
        <x:v>鸿蒙开源项目列表</x:v>
      </x:c>
      <x:c r="T521" s="4" t="n">
        <x:v>519</x:v>
      </x:c>
      <x:c r="U521" s="4" t="str">
        <x:v>https://github.com/PaddlePaddle/PaddleOCR</x:v>
      </x:c>
      <x:c r="V521" s="4" t="str">
        <x:v>paddlepaddle/paddleocr</x:v>
      </x:c>
    </x:row>
    <x:row r="522" ht="44" customHeight="1">
      <x:c r="A522" s="4" t="n">
        <x:v>517</x:v>
      </x:c>
      <x:c r="B522" s="4" t="str">
        <x:v>Python</x:v>
      </x:c>
      <x:c r="C522" s="4"/>
      <x:c r="D522" s="4" t="str">
        <x:v>未归入15类</x:v>
      </x:c>
      <x:c r="E522" s="4" t="str">
        <x:v>范围排除</x:v>
      </x:c>
      <x:c r="F522" s="4" t="n">
        <x:v>0</x:v>
      </x:c>
      <x:c r="G522" s="4" t="str">
        <x:v>教程/资源/技能资产</x:v>
      </x:c>
      <x:c r="H522" s="4" t="str">
        <x:v>知识/数据资产</x:v>
      </x:c>
      <x:c r="I522" s="4" t="str">
        <x:v>当前页面未列入</x:v>
      </x:c>
      <x:c r="J522" s="4" t="str">
        <x:v>Python</x:v>
      </x:c>
      <x:c r="K522" s="4" t="str">
        <x:v>Python</x:v>
      </x:c>
      <x:c r="L522" s="4" t="str">
        <x:v>N/A</x:v>
      </x:c>
      <x:c r="M522" s="4" t="n">
        <x:v>0</x:v>
      </x:c>
      <x:c r="N522" s="4"/>
      <x:c r="O522" s="4"/>
      <x:c r="P522" s="9"/>
      <x:c r="Q522" s="4"/>
      <x:c r="R522" s="4" t="str">
        <x:v>按项目名称与已获取定位识别为知识、数据或技能资源；非独立软件能力证据</x:v>
      </x:c>
      <x:c r="S522" s="4" t="str">
        <x:v>鸿蒙开源项目列表</x:v>
      </x:c>
      <x:c r="T522" s="4" t="n">
        <x:v>520</x:v>
      </x:c>
      <x:c r="U522" s="4" t="str">
        <x:v>https://github.com/TheAlgorithms/Python</x:v>
      </x:c>
      <x:c r="V522" s="4" t="str">
        <x:v>thealgorithms/python</x:v>
      </x:c>
    </x:row>
    <x:row r="523" ht="44" customHeight="1">
      <x:c r="A523" s="4" t="n">
        <x:v>518</x:v>
      </x:c>
      <x:c r="B523" s="4" t="str">
        <x:v>SQLiteBrowser</x:v>
      </x:c>
      <x:c r="C523" s="4" t="n">
        <x:v>5</x:v>
      </x:c>
      <x:c r="D523" s="4" t="str">
        <x:v>数据库、存储与检索</x:v>
      </x:c>
      <x:c r="E523" s="4" t="str">
        <x:v>本地证据分类</x:v>
      </x:c>
      <x:c r="F523" s="4" t="n">
        <x:v>1</x:v>
      </x:c>
      <x:c r="G523" s="4" t="str">
        <x:v>软件项目</x:v>
      </x:c>
      <x:c r="H523" s="4" t="str">
        <x:v>数据服务</x:v>
      </x:c>
      <x:c r="I523" s="4" t="str">
        <x:v>数据库、存储与中间件</x:v>
      </x:c>
      <x:c r="J523" s="4" t="str">
        <x:v>C/C++</x:v>
      </x:c>
      <x:c r="K523" s="4" t="str">
        <x:v>未获取</x:v>
      </x:c>
      <x:c r="L523" s="4" t="str">
        <x:v>Qt</x:v>
      </x:c>
      <x:c r="M523" s="4" t="n">
        <x:v>1</x:v>
      </x:c>
      <x:c r="N523" s="4" t="n">
        <x:v>1</x:v>
      </x:c>
      <x:c r="O523" s="4" t="n">
        <x:v>0</x:v>
      </x:c>
      <x:c r="P523" s="9" t="n">
        <x:v>0</x:v>
      </x:c>
      <x:c r="Q523" s="4"/>
      <x:c r="R523" s="4" t="str">
        <x:v>项目名称/框架的明确功能定位；未逐一在线核验README</x:v>
      </x:c>
      <x:c r="S523" s="4" t="str">
        <x:v>鸿蒙开源项目列表</x:v>
      </x:c>
      <x:c r="T523" s="4" t="n">
        <x:v>521</x:v>
      </x:c>
      <x:c r="U523" s="4" t="str">
        <x:v>https://github.com/sqlitebrowser/sqlitebrowser</x:v>
      </x:c>
      <x:c r="V523" s="4" t="str">
        <x:v>sqlitebrowser/sqlitebrowser</x:v>
      </x:c>
    </x:row>
    <x:row r="524" ht="44" customHeight="1">
      <x:c r="A524" s="4" t="n">
        <x:v>519</x:v>
      </x:c>
      <x:c r="B524" s="4" t="str">
        <x:v>Scilab</x:v>
      </x:c>
      <x:c r="C524" s="4" t="n">
        <x:v>8</x:v>
      </x:c>
      <x:c r="D524" s="4" t="str">
        <x:v>数据处理与科学计算</x:v>
      </x:c>
      <x:c r="E524" s="4" t="str">
        <x:v>本地证据分类</x:v>
      </x:c>
      <x:c r="F524" s="4" t="n">
        <x:v>1</x:v>
      </x:c>
      <x:c r="G524" s="4" t="str">
        <x:v>软件项目</x:v>
      </x:c>
      <x:c r="H524" s="4" t="str">
        <x:v>数据/行业分析</x:v>
      </x:c>
      <x:c r="I524" s="4" t="str">
        <x:v>当前页面未列入</x:v>
      </x:c>
      <x:c r="J524" s="4" t="str">
        <x:v>Java</x:v>
      </x:c>
      <x:c r="K524" s="4" t="str">
        <x:v>未获取</x:v>
      </x:c>
      <x:c r="L524" s="4" t="str">
        <x:v>Swing</x:v>
      </x:c>
      <x:c r="M524" s="4" t="n">
        <x:v>0</x:v>
      </x:c>
      <x:c r="N524" s="4"/>
      <x:c r="O524" s="4"/>
      <x:c r="P524" s="9"/>
      <x:c r="Q524" s="4"/>
      <x:c r="R524" s="4" t="str">
        <x:v>项目名称/框架的明确功能定位；未逐一在线核验README</x:v>
      </x:c>
      <x:c r="S524" s="4" t="str">
        <x:v>鸿蒙开源项目列表</x:v>
      </x:c>
      <x:c r="T524" s="4" t="n">
        <x:v>522</x:v>
      </x:c>
      <x:c r="U524" s="4" t="str">
        <x:v>https://github.com/scilab/scilab</x:v>
      </x:c>
      <x:c r="V524" s="4" t="str">
        <x:v>scilab/scilab</x:v>
      </x:c>
    </x:row>
    <x:row r="525" ht="44" customHeight="1">
      <x:c r="A525" s="4" t="n">
        <x:v>520</x:v>
      </x:c>
      <x:c r="B525" s="4" t="str">
        <x:v>Spyder</x:v>
      </x:c>
      <x:c r="C525" s="4" t="n">
        <x:v>14</x:v>
      </x:c>
      <x:c r="D525" s="4" t="str">
        <x:v>软件构建、开发与测试</x:v>
      </x:c>
      <x:c r="E525" s="4" t="str">
        <x:v>本地证据分类</x:v>
      </x:c>
      <x:c r="F525" s="4" t="n">
        <x:v>1</x:v>
      </x:c>
      <x:c r="G525" s="4" t="str">
        <x:v>软件项目</x:v>
      </x:c>
      <x:c r="H525" s="4" t="str">
        <x:v>软件工程；编程Agent需额外挂13标签</x:v>
      </x:c>
      <x:c r="I525" s="4" t="str">
        <x:v>当前页面未列入</x:v>
      </x:c>
      <x:c r="J525" s="4" t="str">
        <x:v>Python</x:v>
      </x:c>
      <x:c r="K525" s="4" t="str">
        <x:v>未获取</x:v>
      </x:c>
      <x:c r="L525" s="4" t="str">
        <x:v>PyQt</x:v>
      </x:c>
      <x:c r="M525" s="4" t="n">
        <x:v>0</x:v>
      </x:c>
      <x:c r="N525" s="4"/>
      <x:c r="O525" s="4"/>
      <x:c r="P525" s="9"/>
      <x:c r="Q525" s="4"/>
      <x:c r="R525" s="4" t="str">
        <x:v>项目名称/框架的明确功能定位；未逐一在线核验README</x:v>
      </x:c>
      <x:c r="S525" s="4" t="str">
        <x:v>鸿蒙开源项目列表</x:v>
      </x:c>
      <x:c r="T525" s="4" t="n">
        <x:v>523</x:v>
      </x:c>
      <x:c r="U525" s="4" t="str">
        <x:v>https://github.com/spyder-ide/spyder</x:v>
      </x:c>
      <x:c r="V525" s="4" t="str">
        <x:v>spyder-ide/spyder</x:v>
      </x:c>
    </x:row>
    <x:row r="526" ht="44" customHeight="1">
      <x:c r="A526" s="4" t="n">
        <x:v>521</x:v>
      </x:c>
      <x:c r="B526" s="4" t="str">
        <x:v>Stirling-PDF</x:v>
      </x:c>
      <x:c r="C526" s="4" t="n">
        <x:v>10</x:v>
      </x:c>
      <x:c r="D526" s="4" t="str">
        <x:v>文档与办公数据处理</x:v>
      </x:c>
      <x:c r="E526" s="4" t="str">
        <x:v>元数据已核验</x:v>
      </x:c>
      <x:c r="F526" s="4" t="n">
        <x:v>1</x:v>
      </x:c>
      <x:c r="G526" s="4" t="str">
        <x:v>软件项目</x:v>
      </x:c>
      <x:c r="H526" s="4" t="str">
        <x:v>文档/知识内容</x:v>
      </x:c>
      <x:c r="I526" s="4" t="str">
        <x:v>当前页面未列入</x:v>
      </x:c>
      <x:c r="J526" s="4" t="str">
        <x:v>Java</x:v>
      </x:c>
      <x:c r="K526" s="4" t="str">
        <x:v>Java</x:v>
      </x:c>
      <x:c r="L526" s="4" t="str">
        <x:v>N/A</x:v>
      </x:c>
      <x:c r="M526" s="4" t="n">
        <x:v>0</x:v>
      </x:c>
      <x:c r="N526" s="4"/>
      <x:c r="O526" s="4"/>
      <x:c r="P526" s="9"/>
      <x:c r="Q526" s="4"/>
      <x:c r="R526" s="4" t="str">
        <x:v>项目定位与GitHub描述人工对照</x:v>
      </x:c>
      <x:c r="S526" s="4" t="str">
        <x:v>鸿蒙开源项目列表</x:v>
      </x:c>
      <x:c r="T526" s="4" t="n">
        <x:v>524</x:v>
      </x:c>
      <x:c r="U526" s="4" t="str">
        <x:v>https://github.com/Stirling-Tools/Stirling-PDF</x:v>
      </x:c>
      <x:c r="V526" s="4" t="str">
        <x:v>stirling-tools/stirling-pdf</x:v>
      </x:c>
    </x:row>
    <x:row r="527" ht="44" customHeight="1">
      <x:c r="A527" s="4" t="n">
        <x:v>522</x:v>
      </x:c>
      <x:c r="B527" s="4" t="str">
        <x:v>SuperTuxKart</x:v>
      </x:c>
      <x:c r="C527" s="4" t="n">
        <x:v>9</x:v>
      </x:c>
      <x:c r="D527" s="4" t="str">
        <x:v>图形、多媒体与实时应用</x:v>
      </x:c>
      <x:c r="E527" s="4" t="str">
        <x:v>本地证据分类</x:v>
      </x:c>
      <x:c r="F527" s="4" t="n">
        <x:v>1</x:v>
      </x:c>
      <x:c r="G527" s="4" t="str">
        <x:v>软件项目</x:v>
      </x:c>
      <x:c r="H527" s="4" t="str">
        <x:v>媒体/图形</x:v>
      </x:c>
      <x:c r="I527" s="4" t="str">
        <x:v>桌面、TUI 与跨端应用</x:v>
      </x:c>
      <x:c r="J527" s="4" t="str">
        <x:v>C/C++</x:v>
      </x:c>
      <x:c r="K527" s="4" t="str">
        <x:v>未获取</x:v>
      </x:c>
      <x:c r="L527" s="4" t="str">
        <x:v>Qt</x:v>
      </x:c>
      <x:c r="M527" s="4" t="n">
        <x:v>1</x:v>
      </x:c>
      <x:c r="N527" s="4" t="n">
        <x:v>1</x:v>
      </x:c>
      <x:c r="O527" s="4" t="n">
        <x:v>1</x:v>
      </x:c>
      <x:c r="P527" s="9" t="n">
        <x:v>1</x:v>
      </x:c>
      <x:c r="Q527" s="4"/>
      <x:c r="R527" s="4" t="str">
        <x:v>项目名称/框架的明确功能定位；未逐一在线核验README</x:v>
      </x:c>
      <x:c r="S527" s="4" t="str">
        <x:v>鸿蒙开源项目列表</x:v>
      </x:c>
      <x:c r="T527" s="4" t="n">
        <x:v>525</x:v>
      </x:c>
      <x:c r="U527" s="4" t="str">
        <x:v>https://github.com/supertuxkart/stk-code</x:v>
      </x:c>
      <x:c r="V527" s="4" t="str">
        <x:v>supertuxkart/stk-code</x:v>
      </x:c>
    </x:row>
    <x:row r="528" ht="44" customHeight="1">
      <x:c r="A528" s="4" t="n">
        <x:v>523</x:v>
      </x:c>
      <x:c r="B528" s="4" t="str">
        <x:v>Tachidesk</x:v>
      </x:c>
      <x:c r="C528" s="4" t="n">
        <x:v>9</x:v>
      </x:c>
      <x:c r="D528" s="4" t="str">
        <x:v>图形、多媒体与实时应用</x:v>
      </x:c>
      <x:c r="E528" s="4" t="str">
        <x:v>本地证据分类</x:v>
      </x:c>
      <x:c r="F528" s="4" t="n">
        <x:v>1</x:v>
      </x:c>
      <x:c r="G528" s="4" t="str">
        <x:v>软件项目</x:v>
      </x:c>
      <x:c r="H528" s="4" t="str">
        <x:v>媒体/图形应用</x:v>
      </x:c>
      <x:c r="I528" s="4" t="str">
        <x:v>当前页面未列入</x:v>
      </x:c>
      <x:c r="J528" s="4" t="str">
        <x:v>Java</x:v>
      </x:c>
      <x:c r="K528" s="4" t="str">
        <x:v>未获取</x:v>
      </x:c>
      <x:c r="L528" s="4" t="str">
        <x:v>Kotlin</x:v>
      </x:c>
      <x:c r="M528" s="4" t="n">
        <x:v>0</x:v>
      </x:c>
      <x:c r="N528" s="4"/>
      <x:c r="O528" s="4"/>
      <x:c r="P528" s="9"/>
      <x:c r="Q528" s="4"/>
      <x:c r="R528" s="4" t="str">
        <x:v>项目名称/框架的明确功能定位；未逐一在线核验README</x:v>
      </x:c>
      <x:c r="S528" s="4" t="str">
        <x:v>鸿蒙开源项目列表</x:v>
      </x:c>
      <x:c r="T528" s="4" t="n">
        <x:v>526</x:v>
      </x:c>
      <x:c r="U528" s="4" t="str">
        <x:v>https://github.com/Suwayomi/Tachidesk-Server</x:v>
      </x:c>
      <x:c r="V528" s="4" t="str">
        <x:v>suwayomi/tachidesk-server</x:v>
      </x:c>
    </x:row>
    <x:row r="529" ht="44" customHeight="1">
      <x:c r="A529" s="4" t="n">
        <x:v>524</x:v>
      </x:c>
      <x:c r="B529" s="4" t="str">
        <x:v>Umi-OCR</x:v>
      </x:c>
      <x:c r="C529" s="4" t="n">
        <x:v>11</x:v>
      </x:c>
      <x:c r="D529" s="4" t="str">
        <x:v>AI模型与机器学习</x:v>
      </x:c>
      <x:c r="E529" s="4" t="str">
        <x:v>本地证据分类</x:v>
      </x:c>
      <x:c r="F529" s="4" t="n">
        <x:v>0</x:v>
      </x:c>
      <x:c r="G529" s="4" t="str">
        <x:v>软件项目</x:v>
      </x:c>
      <x:c r="H529" s="4" t="str">
        <x:v>AI模型/推理</x:v>
      </x:c>
      <x:c r="I529" s="4" t="str">
        <x:v>当前页面未列入</x:v>
      </x:c>
      <x:c r="J529" s="4" t="str">
        <x:v>Python</x:v>
      </x:c>
      <x:c r="K529" s="4" t="str">
        <x:v>未获取</x:v>
      </x:c>
      <x:c r="L529" s="4" t="str">
        <x:v>N/A</x:v>
      </x:c>
      <x:c r="M529" s="4" t="n">
        <x:v>0</x:v>
      </x:c>
      <x:c r="N529" s="4"/>
      <x:c r="O529" s="4"/>
      <x:c r="P529" s="9"/>
      <x:c r="Q529" s="4" t="n">
        <x:v>234</x:v>
      </x:c>
      <x:c r="R529" s="4" t="str">
        <x:v>项目名称/框架的明确功能定位；未逐一在线核验README</x:v>
      </x:c>
      <x:c r="S529" s="4" t="str">
        <x:v>鸿蒙开源项目列表</x:v>
      </x:c>
      <x:c r="T529" s="4" t="n">
        <x:v>527</x:v>
      </x:c>
      <x:c r="U529" s="4" t="str">
        <x:v>https://github.com/hiroi-sora/Umi-OCR</x:v>
      </x:c>
      <x:c r="V529" s="4" t="str">
        <x:v>hiroi-sora/umi-ocr</x:v>
      </x:c>
    </x:row>
    <x:row r="530" ht="44" customHeight="1">
      <x:c r="A530" s="4" t="n">
        <x:v>525</x:v>
      </x:c>
      <x:c r="B530" s="4" t="str">
        <x:v>VLC</x:v>
      </x:c>
      <x:c r="C530" s="4" t="n">
        <x:v>9</x:v>
      </x:c>
      <x:c r="D530" s="4" t="str">
        <x:v>图形、多媒体与实时应用</x:v>
      </x:c>
      <x:c r="E530" s="4" t="str">
        <x:v>本地证据分类</x:v>
      </x:c>
      <x:c r="F530" s="4" t="n">
        <x:v>1</x:v>
      </x:c>
      <x:c r="G530" s="4" t="str">
        <x:v>软件项目</x:v>
      </x:c>
      <x:c r="H530" s="4" t="str">
        <x:v>媒体/图形</x:v>
      </x:c>
      <x:c r="I530" s="4" t="str">
        <x:v>桌面、TUI 与跨端应用</x:v>
      </x:c>
      <x:c r="J530" s="4" t="str">
        <x:v>C/C++</x:v>
      </x:c>
      <x:c r="K530" s="4" t="str">
        <x:v>未获取</x:v>
      </x:c>
      <x:c r="L530" s="4" t="str">
        <x:v>Qt</x:v>
      </x:c>
      <x:c r="M530" s="4" t="n">
        <x:v>1</x:v>
      </x:c>
      <x:c r="N530" s="4" t="n">
        <x:v>1</x:v>
      </x:c>
      <x:c r="O530" s="4" t="n">
        <x:v>0</x:v>
      </x:c>
      <x:c r="P530" s="9" t="n">
        <x:v>0</x:v>
      </x:c>
      <x:c r="Q530" s="4"/>
      <x:c r="R530" s="4" t="str">
        <x:v>项目名称/框架的明确功能定位；未逐一在线核验README</x:v>
      </x:c>
      <x:c r="S530" s="4" t="str">
        <x:v>鸿蒙开源项目列表</x:v>
      </x:c>
      <x:c r="T530" s="4" t="n">
        <x:v>528</x:v>
      </x:c>
      <x:c r="U530" s="4" t="str">
        <x:v>https://github.com/videolan/vlc</x:v>
      </x:c>
      <x:c r="V530" s="4" t="str">
        <x:v>videolan/vlc</x:v>
      </x:c>
    </x:row>
    <x:row r="531" ht="44" customHeight="1">
      <x:c r="A531" s="4" t="n">
        <x:v>526</x:v>
      </x:c>
      <x:c r="B531" s="4" t="str">
        <x:v>VibeVoice</x:v>
      </x:c>
      <x:c r="C531" s="4" t="n">
        <x:v>11</x:v>
      </x:c>
      <x:c r="D531" s="4" t="str">
        <x:v>AI模型与机器学习</x:v>
      </x:c>
      <x:c r="E531" s="4" t="str">
        <x:v>本地证据分类</x:v>
      </x:c>
      <x:c r="F531" s="4" t="n">
        <x:v>0</x:v>
      </x:c>
      <x:c r="G531" s="4" t="str">
        <x:v>软件项目</x:v>
      </x:c>
      <x:c r="H531" s="4" t="str">
        <x:v>AI模型/推理</x:v>
      </x:c>
      <x:c r="I531" s="4" t="str">
        <x:v>当前页面未列入</x:v>
      </x:c>
      <x:c r="J531" s="4" t="str">
        <x:v>Python</x:v>
      </x:c>
      <x:c r="K531" s="4" t="str">
        <x:v>未获取</x:v>
      </x:c>
      <x:c r="L531" s="4" t="str">
        <x:v>N/A</x:v>
      </x:c>
      <x:c r="M531" s="4" t="n">
        <x:v>0</x:v>
      </x:c>
      <x:c r="N531" s="4"/>
      <x:c r="O531" s="4"/>
      <x:c r="P531" s="9"/>
      <x:c r="Q531" s="4" t="n">
        <x:v>294</x:v>
      </x:c>
      <x:c r="R531" s="4" t="str">
        <x:v>项目名称/框架的明确功能定位；未逐一在线核验README</x:v>
      </x:c>
      <x:c r="S531" s="4" t="str">
        <x:v>鸿蒙开源项目列表</x:v>
      </x:c>
      <x:c r="T531" s="4" t="n">
        <x:v>529</x:v>
      </x:c>
      <x:c r="U531" s="4" t="str">
        <x:v>https://github.com/microsoft/VibeVoice</x:v>
      </x:c>
      <x:c r="V531" s="4" t="str">
        <x:v>microsoft/vibevoice</x:v>
      </x:c>
    </x:row>
    <x:row r="532" ht="44" customHeight="1">
      <x:c r="A532" s="4" t="n">
        <x:v>527</x:v>
      </x:c>
      <x:c r="B532" s="4" t="str">
        <x:v>arkdecompiler</x:v>
      </x:c>
      <x:c r="C532" s="4" t="n">
        <x:v>14</x:v>
      </x:c>
      <x:c r="D532" s="4" t="str">
        <x:v>软件构建、开发与测试</x:v>
      </x:c>
      <x:c r="E532" s="4" t="str">
        <x:v>本地证据分类</x:v>
      </x:c>
      <x:c r="F532" s="4" t="n">
        <x:v>1</x:v>
      </x:c>
      <x:c r="G532" s="4" t="str">
        <x:v>软件项目</x:v>
      </x:c>
      <x:c r="H532" s="4" t="str">
        <x:v>软件工程；编程Agent需额外挂13标签</x:v>
      </x:c>
      <x:c r="I532" s="4" t="str">
        <x:v>当前页面未列入</x:v>
      </x:c>
      <x:c r="J532" s="4" t="str">
        <x:v>C/C++</x:v>
      </x:c>
      <x:c r="K532" s="4" t="str">
        <x:v>未获取</x:v>
      </x:c>
      <x:c r="L532" s="4" t="str">
        <x:v>N/A</x:v>
      </x:c>
      <x:c r="M532" s="4" t="n">
        <x:v>0</x:v>
      </x:c>
      <x:c r="N532" s="4"/>
      <x:c r="O532" s="4"/>
      <x:c r="P532" s="9"/>
      <x:c r="Q532" s="4"/>
      <x:c r="R532" s="4" t="str">
        <x:v>项目名称/框架的明确功能定位；未逐一在线核验README</x:v>
      </x:c>
      <x:c r="S532" s="4" t="str">
        <x:v>鸿蒙开源项目列表</x:v>
      </x:c>
      <x:c r="T532" s="4" t="n">
        <x:v>530</x:v>
      </x:c>
      <x:c r="U532" s="4" t="str">
        <x:v>https://github.com/jd-opensource/arkdecompiler</x:v>
      </x:c>
      <x:c r="V532" s="4" t="str">
        <x:v>jd-opensource/arkdecompiler</x:v>
      </x:c>
    </x:row>
    <x:row r="533" ht="44" customHeight="1">
      <x:c r="A533" s="4" t="n">
        <x:v>528</x:v>
      </x:c>
      <x:c r="B533" s="4" t="str">
        <x:v>bilibili-electron-HarmonyOS</x:v>
      </x:c>
      <x:c r="C533" s="4" t="n">
        <x:v>9</x:v>
      </x:c>
      <x:c r="D533" s="4" t="str">
        <x:v>图形、多媒体与实时应用</x:v>
      </x:c>
      <x:c r="E533" s="4" t="str">
        <x:v>本地证据分类</x:v>
      </x:c>
      <x:c r="F533" s="4" t="n">
        <x:v>1</x:v>
      </x:c>
      <x:c r="G533" s="4" t="str">
        <x:v>软件项目</x:v>
      </x:c>
      <x:c r="H533" s="4" t="str">
        <x:v>媒体/图形</x:v>
      </x:c>
      <x:c r="I533" s="4" t="str">
        <x:v>桌面、TUI 与跨端应用</x:v>
      </x:c>
      <x:c r="J533" s="4" t="str">
        <x:v>JavaScript/TypeScript</x:v>
      </x:c>
      <x:c r="K533" s="4" t="str">
        <x:v>未获取</x:v>
      </x:c>
      <x:c r="L533" s="4" t="str">
        <x:v>Electron</x:v>
      </x:c>
      <x:c r="M533" s="4" t="n">
        <x:v>9</x:v>
      </x:c>
      <x:c r="N533" s="4" t="n">
        <x:v>5</x:v>
      </x:c>
      <x:c r="O533" s="4" t="n">
        <x:v>3</x:v>
      </x:c>
      <x:c r="P533" s="9" t="n">
        <x:v>0.6</x:v>
      </x:c>
      <x:c r="Q533" s="4"/>
      <x:c r="R533" s="4" t="str">
        <x:v>项目名称/框架的明确功能定位；未逐一在线核验README</x:v>
      </x:c>
      <x:c r="S533" s="4" t="str">
        <x:v>鸿蒙开源项目列表</x:v>
      </x:c>
      <x:c r="T533" s="4" t="n">
        <x:v>531</x:v>
      </x:c>
      <x:c r="U533" s="4" t="str">
        <x:v>https://github.com/5-Super-Rookie-5/bilibili-electron-HarmonyOS</x:v>
      </x:c>
      <x:c r="V533" s="4" t="str">
        <x:v>5-super-rookie-5/bilibili-electron-harmonyos</x:v>
      </x:c>
    </x:row>
    <x:row r="534" ht="44" customHeight="1">
      <x:c r="A534" s="4" t="n">
        <x:v>529</x:v>
      </x:c>
      <x:c r="B534" s="4" t="str">
        <x:v>bilibili-electron-harmony-os</x:v>
      </x:c>
      <x:c r="C534" s="4" t="n">
        <x:v>9</x:v>
      </x:c>
      <x:c r="D534" s="4" t="str">
        <x:v>图形、多媒体与实时应用</x:v>
      </x:c>
      <x:c r="E534" s="4" t="str">
        <x:v>本地证据分类</x:v>
      </x:c>
      <x:c r="F534" s="4" t="n">
        <x:v>1</x:v>
      </x:c>
      <x:c r="G534" s="4" t="str">
        <x:v>软件项目</x:v>
      </x:c>
      <x:c r="H534" s="4" t="str">
        <x:v>媒体/图形</x:v>
      </x:c>
      <x:c r="I534" s="4" t="str">
        <x:v>桌面、TUI 与跨端应用</x:v>
      </x:c>
      <x:c r="J534" s="4" t="str">
        <x:v>JavaScript/TypeScript</x:v>
      </x:c>
      <x:c r="K534" s="4" t="str">
        <x:v>未获取</x:v>
      </x:c>
      <x:c r="L534" s="4" t="str">
        <x:v>Electron</x:v>
      </x:c>
      <x:c r="M534" s="4" t="n">
        <x:v>2</x:v>
      </x:c>
      <x:c r="N534" s="4" t="n">
        <x:v>2</x:v>
      </x:c>
      <x:c r="O534" s="4" t="n">
        <x:v>2</x:v>
      </x:c>
      <x:c r="P534" s="9" t="n">
        <x:v>1</x:v>
      </x:c>
      <x:c r="Q534" s="4"/>
      <x:c r="R534" s="4" t="str">
        <x:v>项目名称/框架的明确功能定位；未逐一在线核验README</x:v>
      </x:c>
      <x:c r="S534" s="4" t="str">
        <x:v>鸿蒙开源项目列表</x:v>
      </x:c>
      <x:c r="T534" s="4" t="n">
        <x:v>532</x:v>
      </x:c>
      <x:c r="U534" s="4" t="str">
        <x:v>https://gitee.com/sunshuyu/bilibili-electron-harmony-os</x:v>
      </x:c>
      <x:c r="V534" s="4" t="str">
        <x:v>https://gitee.com/sunshuyu/bilibili-electron-harmony-os</x:v>
      </x:c>
    </x:row>
    <x:row r="535" ht="44" customHeight="1">
      <x:c r="A535" s="4" t="n">
        <x:v>530</x:v>
      </x:c>
      <x:c r="B535" s="4" t="str">
        <x:v>conductor</x:v>
      </x:c>
      <x:c r="C535" s="4" t="n">
        <x:v>6</x:v>
      </x:c>
      <x:c r="D535" s="4" t="str">
        <x:v>后端服务与业务流程</x:v>
      </x:c>
      <x:c r="E535" s="4" t="str">
        <x:v>本地证据分类</x:v>
      </x:c>
      <x:c r="F535" s="4" t="n">
        <x:v>1</x:v>
      </x:c>
      <x:c r="G535" s="4" t="str">
        <x:v>软件项目</x:v>
      </x:c>
      <x:c r="H535" s="4" t="str">
        <x:v>业务应用/确定性工作流</x:v>
      </x:c>
      <x:c r="I535" s="4" t="str">
        <x:v>当前页面未列入</x:v>
      </x:c>
      <x:c r="J535" s="4" t="str">
        <x:v>Java</x:v>
      </x:c>
      <x:c r="K535" s="4" t="str">
        <x:v>未获取</x:v>
      </x:c>
      <x:c r="L535" s="4" t="str">
        <x:v>N/A</x:v>
      </x:c>
      <x:c r="M535" s="4" t="n">
        <x:v>0</x:v>
      </x:c>
      <x:c r="N535" s="4"/>
      <x:c r="O535" s="4"/>
      <x:c r="P535" s="9"/>
      <x:c r="Q535" s="4"/>
      <x:c r="R535" s="4" t="str">
        <x:v>项目名称/框架的明确功能定位；未逐一在线核验README</x:v>
      </x:c>
      <x:c r="S535" s="4" t="str">
        <x:v>鸿蒙开源项目列表</x:v>
      </x:c>
      <x:c r="T535" s="4" t="n">
        <x:v>533</x:v>
      </x:c>
      <x:c r="U535" s="4" t="str">
        <x:v>https://github.com/conductor-oss/conductor</x:v>
      </x:c>
      <x:c r="V535" s="4" t="str">
        <x:v>conductor-oss/conductor</x:v>
      </x:c>
    </x:row>
    <x:row r="536" ht="44" customHeight="1">
      <x:c r="A536" s="4" t="n">
        <x:v>531</x:v>
      </x:c>
      <x:c r="B536" s="4" t="str">
        <x:v>dataease</x:v>
      </x:c>
      <x:c r="C536" s="4" t="n">
        <x:v>8</x:v>
      </x:c>
      <x:c r="D536" s="4" t="str">
        <x:v>数据处理与科学计算</x:v>
      </x:c>
      <x:c r="E536" s="4" t="str">
        <x:v>本地证据分类</x:v>
      </x:c>
      <x:c r="F536" s="4" t="n">
        <x:v>1</x:v>
      </x:c>
      <x:c r="G536" s="4" t="str">
        <x:v>软件项目</x:v>
      </x:c>
      <x:c r="H536" s="4" t="str">
        <x:v>数据/行业分析</x:v>
      </x:c>
      <x:c r="I536" s="4" t="str">
        <x:v>当前页面未列入</x:v>
      </x:c>
      <x:c r="J536" s="4" t="str">
        <x:v>Java</x:v>
      </x:c>
      <x:c r="K536" s="4" t="str">
        <x:v>未获取</x:v>
      </x:c>
      <x:c r="L536" s="4" t="str">
        <x:v>N/A</x:v>
      </x:c>
      <x:c r="M536" s="4" t="n">
        <x:v>0</x:v>
      </x:c>
      <x:c r="N536" s="4"/>
      <x:c r="O536" s="4"/>
      <x:c r="P536" s="9"/>
      <x:c r="Q536" s="4"/>
      <x:c r="R536" s="4" t="str">
        <x:v>项目名称/框架的明确功能定位；未逐一在线核验README</x:v>
      </x:c>
      <x:c r="S536" s="4" t="str">
        <x:v>鸿蒙开源项目列表</x:v>
      </x:c>
      <x:c r="T536" s="4" t="n">
        <x:v>534</x:v>
      </x:c>
      <x:c r="U536" s="4" t="str">
        <x:v>https://github.com/dataease/dataease</x:v>
      </x:c>
      <x:c r="V536" s="4" t="str">
        <x:v>dataease/dataease</x:v>
      </x:c>
    </x:row>
    <x:row r="537" ht="44" customHeight="1">
      <x:c r="A537" s="4" t="n">
        <x:v>532</x:v>
      </x:c>
      <x:c r="B537" s="4" t="str">
        <x:v>dbeaver</x:v>
      </x:c>
      <x:c r="C537" s="4" t="n">
        <x:v>5</x:v>
      </x:c>
      <x:c r="D537" s="4" t="str">
        <x:v>数据库、存储与检索</x:v>
      </x:c>
      <x:c r="E537" s="4" t="str">
        <x:v>本地证据分类</x:v>
      </x:c>
      <x:c r="F537" s="4" t="n">
        <x:v>1</x:v>
      </x:c>
      <x:c r="G537" s="4" t="str">
        <x:v>软件项目</x:v>
      </x:c>
      <x:c r="H537" s="4" t="str">
        <x:v>数据服务</x:v>
      </x:c>
      <x:c r="I537" s="4" t="str">
        <x:v>当前页面未列入</x:v>
      </x:c>
      <x:c r="J537" s="4" t="str">
        <x:v>Java</x:v>
      </x:c>
      <x:c r="K537" s="4" t="str">
        <x:v>未获取</x:v>
      </x:c>
      <x:c r="L537" s="4" t="str">
        <x:v>N/A</x:v>
      </x:c>
      <x:c r="M537" s="4" t="n">
        <x:v>0</x:v>
      </x:c>
      <x:c r="N537" s="4"/>
      <x:c r="O537" s="4"/>
      <x:c r="P537" s="9"/>
      <x:c r="Q537" s="4"/>
      <x:c r="R537" s="4" t="str">
        <x:v>项目名称/框架的明确功能定位；未逐一在线核验README</x:v>
      </x:c>
      <x:c r="S537" s="4" t="str">
        <x:v>鸿蒙开源项目列表</x:v>
      </x:c>
      <x:c r="T537" s="4" t="n">
        <x:v>535</x:v>
      </x:c>
      <x:c r="U537" s="4" t="str">
        <x:v>https://github.com/dbeaver/dbeaver</x:v>
      </x:c>
      <x:c r="V537" s="4" t="str">
        <x:v>dbeaver/dbeaver</x:v>
      </x:c>
    </x:row>
    <x:row r="538" ht="44" customHeight="1">
      <x:c r="A538" s="4" t="n">
        <x:v>533</x:v>
      </x:c>
      <x:c r="B538" s="4" t="str">
        <x:v>django</x:v>
      </x:c>
      <x:c r="C538" s="4" t="n">
        <x:v>6</x:v>
      </x:c>
      <x:c r="D538" s="4" t="str">
        <x:v>后端服务与业务流程</x:v>
      </x:c>
      <x:c r="E538" s="4" t="str">
        <x:v>本地证据分类</x:v>
      </x:c>
      <x:c r="F538" s="4" t="n">
        <x:v>1</x:v>
      </x:c>
      <x:c r="G538" s="4" t="str">
        <x:v>软件项目</x:v>
      </x:c>
      <x:c r="H538" s="4" t="str">
        <x:v>业务应用/确定性工作流</x:v>
      </x:c>
      <x:c r="I538" s="4" t="str">
        <x:v>当前页面未列入</x:v>
      </x:c>
      <x:c r="J538" s="4" t="str">
        <x:v>Python</x:v>
      </x:c>
      <x:c r="K538" s="4" t="str">
        <x:v>未获取</x:v>
      </x:c>
      <x:c r="L538" s="4" t="str">
        <x:v>N/A</x:v>
      </x:c>
      <x:c r="M538" s="4" t="n">
        <x:v>0</x:v>
      </x:c>
      <x:c r="N538" s="4"/>
      <x:c r="O538" s="4"/>
      <x:c r="P538" s="9"/>
      <x:c r="Q538" s="4"/>
      <x:c r="R538" s="4" t="str">
        <x:v>项目名称/框架的明确功能定位；未逐一在线核验README</x:v>
      </x:c>
      <x:c r="S538" s="4" t="str">
        <x:v>鸿蒙开源项目列表</x:v>
      </x:c>
      <x:c r="T538" s="4" t="n">
        <x:v>536</x:v>
      </x:c>
      <x:c r="U538" s="4" t="str">
        <x:v>https://github.com/django/django</x:v>
      </x:c>
      <x:c r="V538" s="4" t="str">
        <x:v>django/django</x:v>
      </x:c>
    </x:row>
    <x:row r="539" ht="44" customHeight="1">
      <x:c r="A539" s="4" t="n">
        <x:v>534</x:v>
      </x:c>
      <x:c r="B539" s="4" t="str">
        <x:v>echo</x:v>
      </x:c>
      <x:c r="C539" s="4" t="n">
        <x:v>9</x:v>
      </x:c>
      <x:c r="D539" s="4" t="str">
        <x:v>图形、多媒体与实时应用</x:v>
      </x:c>
      <x:c r="E539" s="4" t="str">
        <x:v>本地证据分类</x:v>
      </x:c>
      <x:c r="F539" s="4" t="n">
        <x:v>1</x:v>
      </x:c>
      <x:c r="G539" s="4" t="str">
        <x:v>软件项目</x:v>
      </x:c>
      <x:c r="H539" s="4" t="str">
        <x:v>媒体/图形</x:v>
      </x:c>
      <x:c r="I539" s="4" t="str">
        <x:v>当前页面未列入</x:v>
      </x:c>
      <x:c r="J539" s="4" t="str">
        <x:v>JavaScript/TypeScript</x:v>
      </x:c>
      <x:c r="K539" s="4" t="str">
        <x:v>未获取</x:v>
      </x:c>
      <x:c r="L539" s="4" t="str">
        <x:v>Electron + Vite</x:v>
      </x:c>
      <x:c r="M539" s="4" t="n">
        <x:v>0</x:v>
      </x:c>
      <x:c r="N539" s="4"/>
      <x:c r="O539" s="4"/>
      <x:c r="P539" s="9"/>
      <x:c r="Q539" s="4"/>
      <x:c r="R539" s="4" t="str">
        <x:v>项目名称/框架的明确功能定位；未逐一在线核验README</x:v>
      </x:c>
      <x:c r="S539" s="4" t="str">
        <x:v>鸿蒙开源项目列表</x:v>
      </x:c>
      <x:c r="T539" s="4" t="n">
        <x:v>537</x:v>
      </x:c>
      <x:c r="U539" s="4" t="str">
        <x:v>https://github.com/liriliri/echo</x:v>
      </x:c>
      <x:c r="V539" s="4" t="str">
        <x:v>liriliri/echo</x:v>
      </x:c>
    </x:row>
    <x:row r="540" ht="44" customHeight="1">
      <x:c r="A540" s="4" t="n">
        <x:v>535</x:v>
      </x:c>
      <x:c r="B540" s="4" t="str">
        <x:v>eladmin</x:v>
      </x:c>
      <x:c r="C540" s="4" t="n">
        <x:v>6</x:v>
      </x:c>
      <x:c r="D540" s="4" t="str">
        <x:v>后端服务与业务流程</x:v>
      </x:c>
      <x:c r="E540" s="4" t="str">
        <x:v>本地证据分类</x:v>
      </x:c>
      <x:c r="F540" s="4" t="n">
        <x:v>1</x:v>
      </x:c>
      <x:c r="G540" s="4" t="str">
        <x:v>软件项目</x:v>
      </x:c>
      <x:c r="H540" s="4" t="str">
        <x:v>业务应用/确定性工作流</x:v>
      </x:c>
      <x:c r="I540" s="4" t="str">
        <x:v>Web 与业务服务</x:v>
      </x:c>
      <x:c r="J540" s="4" t="str">
        <x:v>Java</x:v>
      </x:c>
      <x:c r="K540" s="4" t="str">
        <x:v>未获取</x:v>
      </x:c>
      <x:c r="L540" s="4" t="str">
        <x:v>Spring Boot 2 + JPA</x:v>
      </x:c>
      <x:c r="M540" s="4" t="n">
        <x:v>6</x:v>
      </x:c>
      <x:c r="N540" s="4" t="n">
        <x:v>6</x:v>
      </x:c>
      <x:c r="O540" s="4" t="n">
        <x:v>1</x:v>
      </x:c>
      <x:c r="P540" s="9" t="n">
        <x:v>0.16666666666666666</x:v>
      </x:c>
      <x:c r="Q540" s="4"/>
      <x:c r="R540" s="4" t="str">
        <x:v>项目名称/框架的明确功能定位；未逐一在线核验README</x:v>
      </x:c>
      <x:c r="S540" s="4" t="str">
        <x:v>鸿蒙开源项目列表</x:v>
      </x:c>
      <x:c r="T540" s="4" t="n">
        <x:v>538</x:v>
      </x:c>
      <x:c r="U540" s="4" t="str">
        <x:v>https://github.com/elunez/eladmin</x:v>
      </x:c>
      <x:c r="V540" s="4" t="str">
        <x:v>elunez/eladmin</x:v>
      </x:c>
    </x:row>
    <x:row r="541" ht="44" customHeight="1">
      <x:c r="A541" s="4" t="n">
        <x:v>536</x:v>
      </x:c>
      <x:c r="B541" s="4" t="str">
        <x:v>elasticsearch</x:v>
      </x:c>
      <x:c r="C541" s="4" t="n">
        <x:v>5</x:v>
      </x:c>
      <x:c r="D541" s="4" t="str">
        <x:v>数据库、存储与检索</x:v>
      </x:c>
      <x:c r="E541" s="4" t="str">
        <x:v>本地证据分类</x:v>
      </x:c>
      <x:c r="F541" s="4" t="n">
        <x:v>1</x:v>
      </x:c>
      <x:c r="G541" s="4" t="str">
        <x:v>软件项目</x:v>
      </x:c>
      <x:c r="H541" s="4" t="str">
        <x:v>数据服务</x:v>
      </x:c>
      <x:c r="I541" s="4" t="str">
        <x:v>当前页面未列入</x:v>
      </x:c>
      <x:c r="J541" s="4" t="str">
        <x:v>Java</x:v>
      </x:c>
      <x:c r="K541" s="4" t="str">
        <x:v>未获取</x:v>
      </x:c>
      <x:c r="L541" s="4" t="str">
        <x:v>N/A</x:v>
      </x:c>
      <x:c r="M541" s="4" t="n">
        <x:v>0</x:v>
      </x:c>
      <x:c r="N541" s="4"/>
      <x:c r="O541" s="4"/>
      <x:c r="P541" s="9"/>
      <x:c r="Q541" s="4"/>
      <x:c r="R541" s="4" t="str">
        <x:v>项目名称/框架的明确功能定位；未逐一在线核验README</x:v>
      </x:c>
      <x:c r="S541" s="4" t="str">
        <x:v>鸿蒙开源项目列表</x:v>
      </x:c>
      <x:c r="T541" s="4" t="n">
        <x:v>539</x:v>
      </x:c>
      <x:c r="U541" s="4" t="str">
        <x:v>https://github.com/elastic/elasticsearch</x:v>
      </x:c>
      <x:c r="V541" s="4" t="str">
        <x:v>elastic/elasticsearch</x:v>
      </x:c>
    </x:row>
    <x:row r="542" ht="44" customHeight="1">
      <x:c r="A542" s="4" t="n">
        <x:v>537</x:v>
      </x:c>
      <x:c r="B542" s="4" t="str">
        <x:v>freqtrade</x:v>
      </x:c>
      <x:c r="C542" s="4" t="n">
        <x:v>8</x:v>
      </x:c>
      <x:c r="D542" s="4" t="str">
        <x:v>数据处理与科学计算</x:v>
      </x:c>
      <x:c r="E542" s="4" t="str">
        <x:v>本地证据分类</x:v>
      </x:c>
      <x:c r="F542" s="4" t="n">
        <x:v>0</x:v>
      </x:c>
      <x:c r="G542" s="4" t="str">
        <x:v>软件项目</x:v>
      </x:c>
      <x:c r="H542" s="4" t="str">
        <x:v>数据/行业分析</x:v>
      </x:c>
      <x:c r="I542" s="4" t="str">
        <x:v>当前页面未列入</x:v>
      </x:c>
      <x:c r="J542" s="4" t="str">
        <x:v>Python</x:v>
      </x:c>
      <x:c r="K542" s="4" t="str">
        <x:v>未获取</x:v>
      </x:c>
      <x:c r="L542" s="4" t="str">
        <x:v>N/A</x:v>
      </x:c>
      <x:c r="M542" s="4" t="n">
        <x:v>0</x:v>
      </x:c>
      <x:c r="N542" s="4"/>
      <x:c r="O542" s="4"/>
      <x:c r="P542" s="9"/>
      <x:c r="Q542" s="4" t="n">
        <x:v>214</x:v>
      </x:c>
      <x:c r="R542" s="4" t="str">
        <x:v>项目名称/框架的明确功能定位；未逐一在线核验README</x:v>
      </x:c>
      <x:c r="S542" s="4" t="str">
        <x:v>鸿蒙开源项目列表</x:v>
      </x:c>
      <x:c r="T542" s="4" t="n">
        <x:v>540</x:v>
      </x:c>
      <x:c r="U542" s="4" t="str">
        <x:v>https://github.com/freqtrade/freqtrade</x:v>
      </x:c>
      <x:c r="V542" s="4" t="str">
        <x:v>freqtrade/freqtrade</x:v>
      </x:c>
    </x:row>
    <x:row r="543" ht="44" customHeight="1">
      <x:c r="A543" s="4" t="n">
        <x:v>538</x:v>
      </x:c>
      <x:c r="B543" s="4" t="str">
        <x:v>funNLP</x:v>
      </x:c>
      <x:c r="C543" s="4"/>
      <x:c r="D543" s="4" t="str">
        <x:v>未归入15类</x:v>
      </x:c>
      <x:c r="E543" s="4" t="str">
        <x:v>范围排除</x:v>
      </x:c>
      <x:c r="F543" s="4" t="n">
        <x:v>0</x:v>
      </x:c>
      <x:c r="G543" s="4" t="str">
        <x:v>教程/资源/技能资产</x:v>
      </x:c>
      <x:c r="H543" s="4" t="str">
        <x:v>知识/数据资产</x:v>
      </x:c>
      <x:c r="I543" s="4" t="str">
        <x:v>当前页面未列入</x:v>
      </x:c>
      <x:c r="J543" s="4" t="str">
        <x:v>Python</x:v>
      </x:c>
      <x:c r="K543" s="4" t="str">
        <x:v>Python</x:v>
      </x:c>
      <x:c r="L543" s="4" t="str">
        <x:v>N/A</x:v>
      </x:c>
      <x:c r="M543" s="4" t="n">
        <x:v>0</x:v>
      </x:c>
      <x:c r="N543" s="4"/>
      <x:c r="O543" s="4"/>
      <x:c r="P543" s="9"/>
      <x:c r="Q543" s="4"/>
      <x:c r="R543" s="4" t="str">
        <x:v>按项目名称与已获取定位识别为知识、数据或技能资源；非独立软件能力证据</x:v>
      </x:c>
      <x:c r="S543" s="4" t="str">
        <x:v>鸿蒙开源项目列表</x:v>
      </x:c>
      <x:c r="T543" s="4" t="n">
        <x:v>541</x:v>
      </x:c>
      <x:c r="U543" s="4" t="str">
        <x:v>https://github.com/fighting41love/funNLP</x:v>
      </x:c>
      <x:c r="V543" s="4" t="str">
        <x:v>fighting41love/funnlp</x:v>
      </x:c>
    </x:row>
    <x:row r="544" ht="44" customHeight="1">
      <x:c r="A544" s="4" t="n">
        <x:v>539</x:v>
      </x:c>
      <x:c r="B544" s="4" t="str">
        <x:v>ghost</x:v>
      </x:c>
      <x:c r="C544" s="4" t="n">
        <x:v>6</x:v>
      </x:c>
      <x:c r="D544" s="4" t="str">
        <x:v>后端服务与业务流程</x:v>
      </x:c>
      <x:c r="E544" s="4" t="str">
        <x:v>本地证据分类</x:v>
      </x:c>
      <x:c r="F544" s="4" t="n">
        <x:v>1</x:v>
      </x:c>
      <x:c r="G544" s="4" t="str">
        <x:v>软件项目</x:v>
      </x:c>
      <x:c r="H544" s="4" t="str">
        <x:v>业务应用/确定性工作流</x:v>
      </x:c>
      <x:c r="I544" s="4" t="str">
        <x:v>数据库、存储与中间件</x:v>
      </x:c>
      <x:c r="J544" s="4" t="str">
        <x:v>JavaScript/TypeScript</x:v>
      </x:c>
      <x:c r="K544" s="4" t="str">
        <x:v>未获取</x:v>
      </x:c>
      <x:c r="L544" s="4" t="str">
        <x:v>Node.js + Ember.js</x:v>
      </x:c>
      <x:c r="M544" s="4" t="n">
        <x:v>4</x:v>
      </x:c>
      <x:c r="N544" s="4" t="n">
        <x:v>3</x:v>
      </x:c>
      <x:c r="O544" s="4" t="n">
        <x:v>1</x:v>
      </x:c>
      <x:c r="P544" s="9" t="n">
        <x:v>0.3333333333333333</x:v>
      </x:c>
      <x:c r="Q544" s="4"/>
      <x:c r="R544" s="4" t="str">
        <x:v>项目名称/框架的明确功能定位；未逐一在线核验README</x:v>
      </x:c>
      <x:c r="S544" s="4" t="str">
        <x:v>鸿蒙开源项目列表</x:v>
      </x:c>
      <x:c r="T544" s="4" t="n">
        <x:v>542</x:v>
      </x:c>
      <x:c r="U544" s="4" t="str">
        <x:v>https://github.com/TryGhost/Ghost</x:v>
      </x:c>
      <x:c r="V544" s="4" t="str">
        <x:v>tryghost/ghost</x:v>
      </x:c>
    </x:row>
    <x:row r="545" ht="44" customHeight="1">
      <x:c r="A545" s="4" t="n">
        <x:v>540</x:v>
      </x:c>
      <x:c r="B545" s="4" t="str">
        <x:v>graal</x:v>
      </x:c>
      <x:c r="C545" s="4" t="n">
        <x:v>2</x:v>
      </x:c>
      <x:c r="D545" s="4" t="str">
        <x:v>系统资源与原生互操作</x:v>
      </x:c>
      <x:c r="E545" s="4" t="str">
        <x:v>本地证据分类</x:v>
      </x:c>
      <x:c r="F545" s="4" t="n">
        <x:v>1</x:v>
      </x:c>
      <x:c r="G545" s="4" t="str">
        <x:v>软件项目</x:v>
      </x:c>
      <x:c r="H545" s="4" t="str">
        <x:v>原生/系统接口</x:v>
      </x:c>
      <x:c r="I545" s="4" t="str">
        <x:v>当前页面未列入</x:v>
      </x:c>
      <x:c r="J545" s="4" t="str">
        <x:v>Java</x:v>
      </x:c>
      <x:c r="K545" s="4" t="str">
        <x:v>未获取</x:v>
      </x:c>
      <x:c r="L545" s="4" t="str">
        <x:v>N/A</x:v>
      </x:c>
      <x:c r="M545" s="4" t="n">
        <x:v>0</x:v>
      </x:c>
      <x:c r="N545" s="4"/>
      <x:c r="O545" s="4"/>
      <x:c r="P545" s="9"/>
      <x:c r="Q545" s="4"/>
      <x:c r="R545" s="4" t="str">
        <x:v>项目名称/框架的明确功能定位；未逐一在线核验README</x:v>
      </x:c>
      <x:c r="S545" s="4" t="str">
        <x:v>鸿蒙开源项目列表</x:v>
      </x:c>
      <x:c r="T545" s="4" t="n">
        <x:v>543</x:v>
      </x:c>
      <x:c r="U545" s="4" t="str">
        <x:v>https://github.com/oracle/graal</x:v>
      </x:c>
      <x:c r="V545" s="4" t="str">
        <x:v>oracle/graal</x:v>
      </x:c>
    </x:row>
    <x:row r="546" ht="44" customHeight="1">
      <x:c r="A546" s="4" t="n">
        <x:v>541</x:v>
      </x:c>
      <x:c r="B546" s="4" t="str">
        <x:v>gson</x:v>
      </x:c>
      <x:c r="C546" s="4" t="n">
        <x:v>1</x:v>
      </x:c>
      <x:c r="D546" s="4" t="str">
        <x:v>基础编程与通用工具</x:v>
      </x:c>
      <x:c r="E546" s="4" t="str">
        <x:v>本地证据分类</x:v>
      </x:c>
      <x:c r="F546" s="4" t="n">
        <x:v>1</x:v>
      </x:c>
      <x:c r="G546" s="4" t="str">
        <x:v>软件项目</x:v>
      </x:c>
      <x:c r="H546" s="4" t="str"/>
      <x:c r="I546" s="4" t="str">
        <x:v>当前页面未列入</x:v>
      </x:c>
      <x:c r="J546" s="4" t="str">
        <x:v>Java</x:v>
      </x:c>
      <x:c r="K546" s="4" t="str">
        <x:v>未获取</x:v>
      </x:c>
      <x:c r="L546" s="4" t="str">
        <x:v>N/A</x:v>
      </x:c>
      <x:c r="M546" s="4" t="n">
        <x:v>0</x:v>
      </x:c>
      <x:c r="N546" s="4"/>
      <x:c r="O546" s="4"/>
      <x:c r="P546" s="9"/>
      <x:c r="Q546" s="4"/>
      <x:c r="R546" s="4" t="str">
        <x:v>项目名称/框架的明确功能定位；未逐一在线核验README</x:v>
      </x:c>
      <x:c r="S546" s="4" t="str">
        <x:v>鸿蒙开源项目列表</x:v>
      </x:c>
      <x:c r="T546" s="4" t="n">
        <x:v>544</x:v>
      </x:c>
      <x:c r="U546" s="4" t="str">
        <x:v>https://github.com/google/gson</x:v>
      </x:c>
      <x:c r="V546" s="4" t="str">
        <x:v>google/gson</x:v>
      </x:c>
    </x:row>
    <x:row r="547" ht="44" customHeight="1">
      <x:c r="A547" s="4" t="n">
        <x:v>542</x:v>
      </x:c>
      <x:c r="B547" s="4" t="str">
        <x:v>hackingtool</x:v>
      </x:c>
      <x:c r="C547" s="4" t="n">
        <x:v>4</x:v>
      </x:c>
      <x:c r="D547" s="4" t="str">
        <x:v>安全与身份认证</x:v>
      </x:c>
      <x:c r="E547" s="4" t="str">
        <x:v>本地证据分类</x:v>
      </x:c>
      <x:c r="F547" s="4" t="n">
        <x:v>0</x:v>
      </x:c>
      <x:c r="G547" s="4" t="str">
        <x:v>软件项目</x:v>
      </x:c>
      <x:c r="H547" s="4" t="str">
        <x:v>安全审计</x:v>
      </x:c>
      <x:c r="I547" s="4" t="str">
        <x:v>当前页面未列入</x:v>
      </x:c>
      <x:c r="J547" s="4" t="str">
        <x:v>Python</x:v>
      </x:c>
      <x:c r="K547" s="4" t="str">
        <x:v>未获取</x:v>
      </x:c>
      <x:c r="L547" s="4" t="str">
        <x:v>N/A</x:v>
      </x:c>
      <x:c r="M547" s="4" t="n">
        <x:v>0</x:v>
      </x:c>
      <x:c r="N547" s="4"/>
      <x:c r="O547" s="4"/>
      <x:c r="P547" s="9"/>
      <x:c r="Q547" s="4" t="n">
        <x:v>103</x:v>
      </x:c>
      <x:c r="R547" s="4" t="str">
        <x:v>项目名称/框架的明确功能定位；未逐一在线核验README</x:v>
      </x:c>
      <x:c r="S547" s="4" t="str">
        <x:v>鸿蒙开源项目列表</x:v>
      </x:c>
      <x:c r="T547" s="4" t="n">
        <x:v>545</x:v>
      </x:c>
      <x:c r="U547" s="4" t="str">
        <x:v>https://github.com/Z4nzu/hackingtool</x:v>
      </x:c>
      <x:c r="V547" s="4" t="str">
        <x:v>z4nzu/hackingtool</x:v>
      </x:c>
    </x:row>
    <x:row r="548" ht="44" customHeight="1">
      <x:c r="A548" s="4" t="n">
        <x:v>543</x:v>
      </x:c>
      <x:c r="B548" s="4" t="str">
        <x:v>halo</x:v>
      </x:c>
      <x:c r="C548" s="4" t="n">
        <x:v>6</x:v>
      </x:c>
      <x:c r="D548" s="4" t="str">
        <x:v>后端服务与业务流程</x:v>
      </x:c>
      <x:c r="E548" s="4" t="str">
        <x:v>本地证据分类</x:v>
      </x:c>
      <x:c r="F548" s="4" t="n">
        <x:v>1</x:v>
      </x:c>
      <x:c r="G548" s="4" t="str">
        <x:v>软件项目</x:v>
      </x:c>
      <x:c r="H548" s="4" t="str">
        <x:v>业务应用/确定性工作流</x:v>
      </x:c>
      <x:c r="I548" s="4" t="str">
        <x:v>Web 与业务服务</x:v>
      </x:c>
      <x:c r="J548" s="4" t="str">
        <x:v>Java</x:v>
      </x:c>
      <x:c r="K548" s="4" t="str">
        <x:v>未获取</x:v>
      </x:c>
      <x:c r="L548" s="4" t="str">
        <x:v>Spring Boot</x:v>
      </x:c>
      <x:c r="M548" s="4" t="n">
        <x:v>4</x:v>
      </x:c>
      <x:c r="N548" s="4" t="n">
        <x:v>4</x:v>
      </x:c>
      <x:c r="O548" s="4" t="n">
        <x:v>0</x:v>
      </x:c>
      <x:c r="P548" s="9" t="n">
        <x:v>0</x:v>
      </x:c>
      <x:c r="Q548" s="4"/>
      <x:c r="R548" s="4" t="str">
        <x:v>项目名称/框架的明确功能定位；未逐一在线核验README</x:v>
      </x:c>
      <x:c r="S548" s="4" t="str">
        <x:v>鸿蒙开源项目列表</x:v>
      </x:c>
      <x:c r="T548" s="4" t="n">
        <x:v>546</x:v>
      </x:c>
      <x:c r="U548" s="4" t="str">
        <x:v>https://github.com/halo-dev/halo</x:v>
      </x:c>
      <x:c r="V548" s="4" t="str">
        <x:v>halo-dev/halo</x:v>
      </x:c>
    </x:row>
    <x:row r="549" ht="44" customHeight="1">
      <x:c r="A549" s="4" t="n">
        <x:v>544</x:v>
      </x:c>
      <x:c r="B549" s="4" t="str">
        <x:v>hello-agents</x:v>
      </x:c>
      <x:c r="C549" s="4"/>
      <x:c r="D549" s="4" t="str">
        <x:v>未归入15类</x:v>
      </x:c>
      <x:c r="E549" s="4" t="str">
        <x:v>范围排除</x:v>
      </x:c>
      <x:c r="F549" s="4" t="n">
        <x:v>0</x:v>
      </x:c>
      <x:c r="G549" s="4" t="str">
        <x:v>教程/资源/技能资产</x:v>
      </x:c>
      <x:c r="H549" s="4" t="str">
        <x:v>Agent资源（不等于运行时）</x:v>
      </x:c>
      <x:c r="I549" s="4" t="str">
        <x:v>当前页面未列入</x:v>
      </x:c>
      <x:c r="J549" s="4" t="str">
        <x:v>Python</x:v>
      </x:c>
      <x:c r="K549" s="4" t="str">
        <x:v>未获取</x:v>
      </x:c>
      <x:c r="L549" s="4" t="str">
        <x:v>N/A</x:v>
      </x:c>
      <x:c r="M549" s="4" t="n">
        <x:v>0</x:v>
      </x:c>
      <x:c r="N549" s="4"/>
      <x:c r="O549" s="4"/>
      <x:c r="P549" s="9"/>
      <x:c r="Q549" s="4" t="n">
        <x:v>180</x:v>
      </x:c>
      <x:c r="R549" s="4" t="str">
        <x:v>按项目名称与已获取定位识别为知识、数据或技能资源；非独立软件能力证据</x:v>
      </x:c>
      <x:c r="S549" s="4" t="str">
        <x:v>鸿蒙开源项目列表</x:v>
      </x:c>
      <x:c r="T549" s="4" t="n">
        <x:v>547</x:v>
      </x:c>
      <x:c r="U549" s="4" t="str">
        <x:v>https://github.com/datawhalechina/hello-agents</x:v>
      </x:c>
      <x:c r="V549" s="4" t="str">
        <x:v>datawhalechina/hello-agents</x:v>
      </x:c>
    </x:row>
    <x:row r="550" ht="44" customHeight="1">
      <x:c r="A550" s="4" t="n">
        <x:v>545</x:v>
      </x:c>
      <x:c r="B550" s="4" t="str">
        <x:v>hello-algo</x:v>
      </x:c>
      <x:c r="C550" s="4"/>
      <x:c r="D550" s="4" t="str">
        <x:v>未归入15类</x:v>
      </x:c>
      <x:c r="E550" s="4" t="str">
        <x:v>范围排除</x:v>
      </x:c>
      <x:c r="F550" s="4" t="n">
        <x:v>0</x:v>
      </x:c>
      <x:c r="G550" s="4" t="str">
        <x:v>教程/资源/技能资产</x:v>
      </x:c>
      <x:c r="H550" s="4" t="str">
        <x:v>知识/数据资产</x:v>
      </x:c>
      <x:c r="I550" s="4" t="str">
        <x:v>当前页面未列入</x:v>
      </x:c>
      <x:c r="J550" s="4" t="str">
        <x:v>Java</x:v>
      </x:c>
      <x:c r="K550" s="4" t="str">
        <x:v>Java</x:v>
      </x:c>
      <x:c r="L550" s="4" t="str">
        <x:v>N/A</x:v>
      </x:c>
      <x:c r="M550" s="4" t="n">
        <x:v>0</x:v>
      </x:c>
      <x:c r="N550" s="4"/>
      <x:c r="O550" s="4"/>
      <x:c r="P550" s="9"/>
      <x:c r="Q550" s="4" t="n">
        <x:v>267</x:v>
      </x:c>
      <x:c r="R550" s="4" t="str">
        <x:v>按项目名称与已获取定位识别为知识、数据或技能资源；非独立软件能力证据</x:v>
      </x:c>
      <x:c r="S550" s="4" t="str">
        <x:v>鸿蒙开源项目列表</x:v>
      </x:c>
      <x:c r="T550" s="4" t="n">
        <x:v>548</x:v>
      </x:c>
      <x:c r="U550" s="4" t="str">
        <x:v>https://github.com/krahets/hello-algo</x:v>
      </x:c>
      <x:c r="V550" s="4" t="str">
        <x:v>krahets/hello-algo</x:v>
      </x:c>
    </x:row>
    <x:row r="551" ht="44" customHeight="1">
      <x:c r="A551" s="4" t="n">
        <x:v>546</x:v>
      </x:c>
      <x:c r="B551" s="4" t="str">
        <x:v>hutool</x:v>
      </x:c>
      <x:c r="C551" s="4" t="n">
        <x:v>1</x:v>
      </x:c>
      <x:c r="D551" s="4" t="str">
        <x:v>基础编程与通用工具</x:v>
      </x:c>
      <x:c r="E551" s="4" t="str">
        <x:v>本地证据分类</x:v>
      </x:c>
      <x:c r="F551" s="4" t="n">
        <x:v>1</x:v>
      </x:c>
      <x:c r="G551" s="4" t="str">
        <x:v>软件项目</x:v>
      </x:c>
      <x:c r="H551" s="4" t="str"/>
      <x:c r="I551" s="4" t="str">
        <x:v>当前页面未列入</x:v>
      </x:c>
      <x:c r="J551" s="4" t="str">
        <x:v>Java</x:v>
      </x:c>
      <x:c r="K551" s="4" t="str">
        <x:v>未获取</x:v>
      </x:c>
      <x:c r="L551" s="4" t="str">
        <x:v>N/A</x:v>
      </x:c>
      <x:c r="M551" s="4" t="n">
        <x:v>0</x:v>
      </x:c>
      <x:c r="N551" s="4"/>
      <x:c r="O551" s="4"/>
      <x:c r="P551" s="9"/>
      <x:c r="Q551" s="4"/>
      <x:c r="R551" s="4" t="str">
        <x:v>项目名称/框架的明确功能定位；未逐一在线核验README</x:v>
      </x:c>
      <x:c r="S551" s="4" t="str">
        <x:v>鸿蒙开源项目列表</x:v>
      </x:c>
      <x:c r="T551" s="4" t="n">
        <x:v>549</x:v>
      </x:c>
      <x:c r="U551" s="4" t="str">
        <x:v>https://github.com/chinabugotech/hutool</x:v>
      </x:c>
      <x:c r="V551" s="4" t="str">
        <x:v>chinabugotech/hutool</x:v>
      </x:c>
    </x:row>
    <x:row r="552" ht="44" customHeight="1">
      <x:c r="A552" s="4" t="n">
        <x:v>547</x:v>
      </x:c>
      <x:c r="B552" s="4" t="str">
        <x:v>incubator-seata</x:v>
      </x:c>
      <x:c r="C552" s="4" t="n">
        <x:v>6</x:v>
      </x:c>
      <x:c r="D552" s="4" t="str">
        <x:v>后端服务与业务流程</x:v>
      </x:c>
      <x:c r="E552" s="4" t="str">
        <x:v>本地证据分类</x:v>
      </x:c>
      <x:c r="F552" s="4" t="n">
        <x:v>0</x:v>
      </x:c>
      <x:c r="G552" s="4" t="str">
        <x:v>软件项目</x:v>
      </x:c>
      <x:c r="H552" s="4" t="str">
        <x:v>业务应用/确定性工作流</x:v>
      </x:c>
      <x:c r="I552" s="4" t="str">
        <x:v>当前页面未列入</x:v>
      </x:c>
      <x:c r="J552" s="4" t="str">
        <x:v>Java</x:v>
      </x:c>
      <x:c r="K552" s="4" t="str">
        <x:v>未获取</x:v>
      </x:c>
      <x:c r="L552" s="4" t="str">
        <x:v>N/A</x:v>
      </x:c>
      <x:c r="M552" s="4" t="n">
        <x:v>0</x:v>
      </x:c>
      <x:c r="N552" s="4"/>
      <x:c r="O552" s="4"/>
      <x:c r="P552" s="9"/>
      <x:c r="Q552" s="4" t="n">
        <x:v>447</x:v>
      </x:c>
      <x:c r="R552" s="4" t="str">
        <x:v>项目名称/框架的明确功能定位；未逐一在线核验README</x:v>
      </x:c>
      <x:c r="S552" s="4" t="str">
        <x:v>鸿蒙开源项目列表</x:v>
      </x:c>
      <x:c r="T552" s="4" t="n">
        <x:v>550</x:v>
      </x:c>
      <x:c r="U552" s="4" t="str">
        <x:v>https://github.com/apache/incubator-seata</x:v>
      </x:c>
      <x:c r="V552" s="4" t="str">
        <x:v>apache/incubator-seata</x:v>
      </x:c>
    </x:row>
    <x:row r="553" ht="44" customHeight="1">
      <x:c r="A553" s="4" t="n">
        <x:v>548</x:v>
      </x:c>
      <x:c r="B553" s="4" t="str">
        <x:v>javascript-algorithms</x:v>
      </x:c>
      <x:c r="C553" s="4"/>
      <x:c r="D553" s="4" t="str">
        <x:v>未归入15类</x:v>
      </x:c>
      <x:c r="E553" s="4" t="str">
        <x:v>范围排除</x:v>
      </x:c>
      <x:c r="F553" s="4" t="n">
        <x:v>0</x:v>
      </x:c>
      <x:c r="G553" s="4" t="str">
        <x:v>教程/资源/技能资产</x:v>
      </x:c>
      <x:c r="H553" s="4" t="str">
        <x:v>知识/数据资产</x:v>
      </x:c>
      <x:c r="I553" s="4" t="str">
        <x:v>行业与其他应用</x:v>
      </x:c>
      <x:c r="J553" s="4" t="str">
        <x:v>JavaScript/TypeScript</x:v>
      </x:c>
      <x:c r="K553" s="4" t="str">
        <x:v>JavaScript</x:v>
      </x:c>
      <x:c r="L553" s="4" t="str">
        <x:v>原生 JS</x:v>
      </x:c>
      <x:c r="M553" s="4" t="n">
        <x:v>2</x:v>
      </x:c>
      <x:c r="N553" s="4" t="n">
        <x:v>1</x:v>
      </x:c>
      <x:c r="O553" s="4" t="n">
        <x:v>0</x:v>
      </x:c>
      <x:c r="P553" s="9" t="n">
        <x:v>0</x:v>
      </x:c>
      <x:c r="Q553" s="4"/>
      <x:c r="R553" s="4" t="str">
        <x:v>按项目名称与已获取定位识别为知识、数据或技能资源；非独立软件能力证据</x:v>
      </x:c>
      <x:c r="S553" s="4" t="str">
        <x:v>鸿蒙开源项目列表</x:v>
      </x:c>
      <x:c r="T553" s="4" t="n">
        <x:v>551</x:v>
      </x:c>
      <x:c r="U553" s="4" t="str">
        <x:v>https://github.com/trekhleb/javascript-algorithms</x:v>
      </x:c>
      <x:c r="V553" s="4" t="str">
        <x:v>trekhleb/javascript-algorithms</x:v>
      </x:c>
    </x:row>
    <x:row r="554" ht="44" customHeight="1">
      <x:c r="A554" s="4" t="n">
        <x:v>549</x:v>
      </x:c>
      <x:c r="B554" s="4" t="str">
        <x:v>kestra</x:v>
      </x:c>
      <x:c r="C554" s="4" t="n">
        <x:v>6</x:v>
      </x:c>
      <x:c r="D554" s="4" t="str">
        <x:v>后端服务与业务流程</x:v>
      </x:c>
      <x:c r="E554" s="4" t="str">
        <x:v>本地证据分类</x:v>
      </x:c>
      <x:c r="F554" s="4" t="n">
        <x:v>1</x:v>
      </x:c>
      <x:c r="G554" s="4" t="str">
        <x:v>软件项目</x:v>
      </x:c>
      <x:c r="H554" s="4" t="str">
        <x:v>业务应用/确定性工作流</x:v>
      </x:c>
      <x:c r="I554" s="4" t="str">
        <x:v>当前页面未列入</x:v>
      </x:c>
      <x:c r="J554" s="4" t="str">
        <x:v>Java</x:v>
      </x:c>
      <x:c r="K554" s="4" t="str">
        <x:v>未获取</x:v>
      </x:c>
      <x:c r="L554" s="4" t="str">
        <x:v>N/A</x:v>
      </x:c>
      <x:c r="M554" s="4" t="n">
        <x:v>0</x:v>
      </x:c>
      <x:c r="N554" s="4"/>
      <x:c r="O554" s="4"/>
      <x:c r="P554" s="9"/>
      <x:c r="Q554" s="4"/>
      <x:c r="R554" s="4" t="str">
        <x:v>项目名称/框架的明确功能定位；未逐一在线核验README</x:v>
      </x:c>
      <x:c r="S554" s="4" t="str">
        <x:v>鸿蒙开源项目列表</x:v>
      </x:c>
      <x:c r="T554" s="4" t="n">
        <x:v>552</x:v>
      </x:c>
      <x:c r="U554" s="4" t="str">
        <x:v>https://github.com/kestra-io/kestra</x:v>
      </x:c>
      <x:c r="V554" s="4" t="str">
        <x:v>kestra-io/kestra</x:v>
      </x:c>
    </x:row>
    <x:row r="555" ht="44" customHeight="1">
      <x:c r="A555" s="4" t="n">
        <x:v>550</x:v>
      </x:c>
      <x:c r="B555" s="4" t="str">
        <x:v>litemall</x:v>
      </x:c>
      <x:c r="C555" s="4" t="n">
        <x:v>6</x:v>
      </x:c>
      <x:c r="D555" s="4" t="str">
        <x:v>后端服务与业务流程</x:v>
      </x:c>
      <x:c r="E555" s="4" t="str">
        <x:v>本地证据分类</x:v>
      </x:c>
      <x:c r="F555" s="4" t="n">
        <x:v>1</x:v>
      </x:c>
      <x:c r="G555" s="4" t="str">
        <x:v>软件项目</x:v>
      </x:c>
      <x:c r="H555" s="4" t="str">
        <x:v>业务应用/确定性工作流</x:v>
      </x:c>
      <x:c r="I555" s="4" t="str">
        <x:v>Web 与业务服务</x:v>
      </x:c>
      <x:c r="J555" s="4" t="str">
        <x:v>Java</x:v>
      </x:c>
      <x:c r="K555" s="4" t="str">
        <x:v>未获取</x:v>
      </x:c>
      <x:c r="L555" s="4" t="str">
        <x:v>Spring Boot + Vue</x:v>
      </x:c>
      <x:c r="M555" s="4" t="n">
        <x:v>5</x:v>
      </x:c>
      <x:c r="N555" s="4" t="n">
        <x:v>4</x:v>
      </x:c>
      <x:c r="O555" s="4" t="n">
        <x:v>1</x:v>
      </x:c>
      <x:c r="P555" s="9" t="n">
        <x:v>0.25</x:v>
      </x:c>
      <x:c r="Q555" s="4"/>
      <x:c r="R555" s="4" t="str">
        <x:v>项目名称/框架的明确功能定位；未逐一在线核验README</x:v>
      </x:c>
      <x:c r="S555" s="4" t="str">
        <x:v>鸿蒙开源项目列表</x:v>
      </x:c>
      <x:c r="T555" s="4" t="n">
        <x:v>553</x:v>
      </x:c>
      <x:c r="U555" s="4" t="str">
        <x:v>https://github.com/linlinjava/litemall</x:v>
      </x:c>
      <x:c r="V555" s="4" t="str">
        <x:v>linlinjava/litemall</x:v>
      </x:c>
    </x:row>
    <x:row r="556" ht="44" customHeight="1">
      <x:c r="A556" s="4" t="n">
        <x:v>551</x:v>
      </x:c>
      <x:c r="B556" s="4" t="str">
        <x:v>mall</x:v>
      </x:c>
      <x:c r="C556" s="4" t="n">
        <x:v>6</x:v>
      </x:c>
      <x:c r="D556" s="4" t="str">
        <x:v>后端服务与业务流程</x:v>
      </x:c>
      <x:c r="E556" s="4" t="str">
        <x:v>本地证据分类</x:v>
      </x:c>
      <x:c r="F556" s="4" t="n">
        <x:v>0</x:v>
      </x:c>
      <x:c r="G556" s="4" t="str">
        <x:v>软件项目</x:v>
      </x:c>
      <x:c r="H556" s="4" t="str">
        <x:v>业务应用/确定性工作流</x:v>
      </x:c>
      <x:c r="I556" s="4" t="str">
        <x:v>数据库、存储与中间件</x:v>
      </x:c>
      <x:c r="J556" s="4" t="str">
        <x:v>Java</x:v>
      </x:c>
      <x:c r="K556" s="4" t="str">
        <x:v>未获取</x:v>
      </x:c>
      <x:c r="L556" s="4" t="str">
        <x:v>N/A</x:v>
      </x:c>
      <x:c r="M556" s="4" t="n">
        <x:v>0</x:v>
      </x:c>
      <x:c r="N556" s="4" t="n">
        <x:v>12</x:v>
      </x:c>
      <x:c r="O556" s="4" t="n">
        <x:v>1</x:v>
      </x:c>
      <x:c r="P556" s="9" t="n">
        <x:v>0.08333333333333333</x:v>
      </x:c>
      <x:c r="Q556" s="4" t="n">
        <x:v>469</x:v>
      </x:c>
      <x:c r="R556" s="4" t="str">
        <x:v>项目名称/框架的明确功能定位；未逐一在线核验README</x:v>
      </x:c>
      <x:c r="S556" s="4" t="str">
        <x:v>鸿蒙开源项目列表</x:v>
      </x:c>
      <x:c r="T556" s="4" t="n">
        <x:v>554</x:v>
      </x:c>
      <x:c r="U556" s="4" t="str">
        <x:v>https://github.com/macrozheng/mall</x:v>
      </x:c>
      <x:c r="V556" s="4" t="str">
        <x:v>macrozheng/mall</x:v>
      </x:c>
    </x:row>
    <x:row r="557" ht="44" customHeight="1">
      <x:c r="A557" s="4" t="n">
        <x:v>552</x:v>
      </x:c>
      <x:c r="B557" s="4" t="str">
        <x:v>markitdown</x:v>
      </x:c>
      <x:c r="C557" s="4" t="n">
        <x:v>10</x:v>
      </x:c>
      <x:c r="D557" s="4" t="str">
        <x:v>文档与办公数据处理</x:v>
      </x:c>
      <x:c r="E557" s="4" t="str">
        <x:v>元数据已核验</x:v>
      </x:c>
      <x:c r="F557" s="4" t="n">
        <x:v>0</x:v>
      </x:c>
      <x:c r="G557" s="4" t="str">
        <x:v>软件项目</x:v>
      </x:c>
      <x:c r="H557" s="4" t="str">
        <x:v>文档/知识内容</x:v>
      </x:c>
      <x:c r="I557" s="4" t="str">
        <x:v>当前页面未列入</x:v>
      </x:c>
      <x:c r="J557" s="4" t="str">
        <x:v>Python</x:v>
      </x:c>
      <x:c r="K557" s="4" t="str">
        <x:v>Python</x:v>
      </x:c>
      <x:c r="L557" s="4" t="str">
        <x:v>N/A</x:v>
      </x:c>
      <x:c r="M557" s="4" t="n">
        <x:v>0</x:v>
      </x:c>
      <x:c r="N557" s="4"/>
      <x:c r="O557" s="4"/>
      <x:c r="P557" s="9"/>
      <x:c r="Q557" s="4" t="n">
        <x:v>300</x:v>
      </x:c>
      <x:c r="R557" s="4" t="str">
        <x:v>项目定位与GitHub描述人工对照</x:v>
      </x:c>
      <x:c r="S557" s="4" t="str">
        <x:v>鸿蒙开源项目列表</x:v>
      </x:c>
      <x:c r="T557" s="4" t="n">
        <x:v>555</x:v>
      </x:c>
      <x:c r="U557" s="4" t="str">
        <x:v>https://github.com/microsoft/markitdown</x:v>
      </x:c>
      <x:c r="V557" s="4" t="str">
        <x:v>microsoft/markitdown</x:v>
      </x:c>
    </x:row>
    <x:row r="558" ht="44" customHeight="1">
      <x:c r="A558" s="4" t="n">
        <x:v>553</x:v>
      </x:c>
      <x:c r="B558" s="4" t="str">
        <x:v>nodebb</x:v>
      </x:c>
      <x:c r="C558" s="4" t="n">
        <x:v>6</x:v>
      </x:c>
      <x:c r="D558" s="4" t="str">
        <x:v>后端服务与业务流程</x:v>
      </x:c>
      <x:c r="E558" s="4" t="str">
        <x:v>本地证据分类</x:v>
      </x:c>
      <x:c r="F558" s="4" t="n">
        <x:v>1</x:v>
      </x:c>
      <x:c r="G558" s="4" t="str">
        <x:v>软件项目</x:v>
      </x:c>
      <x:c r="H558" s="4" t="str">
        <x:v>业务应用/确定性工作流</x:v>
      </x:c>
      <x:c r="I558" s="4" t="str">
        <x:v>数据库、存储与中间件</x:v>
      </x:c>
      <x:c r="J558" s="4" t="str">
        <x:v>JavaScript/TypeScript</x:v>
      </x:c>
      <x:c r="K558" s="4" t="str">
        <x:v>未获取</x:v>
      </x:c>
      <x:c r="L558" s="4" t="str">
        <x:v>Node.js</x:v>
      </x:c>
      <x:c r="M558" s="4" t="n">
        <x:v>4</x:v>
      </x:c>
      <x:c r="N558" s="4" t="n">
        <x:v>3</x:v>
      </x:c>
      <x:c r="O558" s="4" t="n">
        <x:v>2</x:v>
      </x:c>
      <x:c r="P558" s="9" t="n">
        <x:v>0.6666666666666666</x:v>
      </x:c>
      <x:c r="Q558" s="4"/>
      <x:c r="R558" s="4" t="str">
        <x:v>项目名称/框架的明确功能定位；未逐一在线核验README</x:v>
      </x:c>
      <x:c r="S558" s="4" t="str">
        <x:v>鸿蒙开源项目列表</x:v>
      </x:c>
      <x:c r="T558" s="4" t="n">
        <x:v>556</x:v>
      </x:c>
      <x:c r="U558" s="4" t="str">
        <x:v>https://github.com/NodeBB/NodeBB</x:v>
      </x:c>
      <x:c r="V558" s="4" t="str">
        <x:v>nodebb/nodebb</x:v>
      </x:c>
    </x:row>
    <x:row r="559" ht="44" customHeight="1">
      <x:c r="A559" s="4" t="n">
        <x:v>554</x:v>
      </x:c>
      <x:c r="B559" s="4" t="str">
        <x:v>ohos_LXMusic（落雪音乐鸿蒙版）</x:v>
      </x:c>
      <x:c r="C559" s="4" t="n">
        <x:v>9</x:v>
      </x:c>
      <x:c r="D559" s="4" t="str">
        <x:v>图形、多媒体与实时应用</x:v>
      </x:c>
      <x:c r="E559" s="4" t="str">
        <x:v>本地证据分类</x:v>
      </x:c>
      <x:c r="F559" s="4" t="n">
        <x:v>1</x:v>
      </x:c>
      <x:c r="G559" s="4" t="str">
        <x:v>软件项目</x:v>
      </x:c>
      <x:c r="H559" s="4" t="str">
        <x:v>媒体/图形</x:v>
      </x:c>
      <x:c r="I559" s="4" t="str">
        <x:v>当前页面未列入</x:v>
      </x:c>
      <x:c r="J559" s="4" t="str">
        <x:v>JavaScript/TypeScript</x:v>
      </x:c>
      <x:c r="K559" s="4" t="str">
        <x:v>未获取</x:v>
      </x:c>
      <x:c r="L559" s="4" t="str">
        <x:v>Electron + Vue</x:v>
      </x:c>
      <x:c r="M559" s="4" t="n">
        <x:v>0</x:v>
      </x:c>
      <x:c r="N559" s="4"/>
      <x:c r="O559" s="4"/>
      <x:c r="P559" s="9"/>
      <x:c r="Q559" s="4"/>
      <x:c r="R559" s="4" t="str">
        <x:v>项目名称/框架的明确功能定位；未逐一在线核验README</x:v>
      </x:c>
      <x:c r="S559" s="4" t="str">
        <x:v>鸿蒙开源项目列表</x:v>
      </x:c>
      <x:c r="T559" s="4" t="n">
        <x:v>557</x:v>
      </x:c>
      <x:c r="U559" s="4" t="str">
        <x:v>https://gitcode.com/OpenHarmonyPCDeveloper/ohos_LXMusic</x:v>
      </x:c>
      <x:c r="V559" s="4" t="str">
        <x:v>https://gitcode.com/openharmonypcdeveloper/ohos_lxmusic</x:v>
      </x:c>
    </x:row>
    <x:row r="560" ht="44" customHeight="1">
      <x:c r="A560" s="4" t="n">
        <x:v>555</x:v>
      </x:c>
      <x:c r="B560" s="4" t="str">
        <x:v>ohos_XHbj（XH 笔记）</x:v>
      </x:c>
      <x:c r="C560" s="4" t="n">
        <x:v>10</x:v>
      </x:c>
      <x:c r="D560" s="4" t="str">
        <x:v>文档与办公数据处理</x:v>
      </x:c>
      <x:c r="E560" s="4" t="str">
        <x:v>本地证据分类</x:v>
      </x:c>
      <x:c r="F560" s="4" t="n">
        <x:v>1</x:v>
      </x:c>
      <x:c r="G560" s="4" t="str">
        <x:v>软件项目</x:v>
      </x:c>
      <x:c r="H560" s="4" t="str">
        <x:v>文档/知识内容</x:v>
      </x:c>
      <x:c r="I560" s="4" t="str">
        <x:v>当前页面未列入</x:v>
      </x:c>
      <x:c r="J560" s="4" t="str">
        <x:v>JavaScript/TypeScript</x:v>
      </x:c>
      <x:c r="K560" s="4" t="str">
        <x:v>未获取</x:v>
      </x:c>
      <x:c r="L560" s="4" t="str">
        <x:v>Electron + Vite</x:v>
      </x:c>
      <x:c r="M560" s="4" t="n">
        <x:v>0</x:v>
      </x:c>
      <x:c r="N560" s="4"/>
      <x:c r="O560" s="4"/>
      <x:c r="P560" s="9"/>
      <x:c r="Q560" s="4"/>
      <x:c r="R560" s="4" t="str">
        <x:v>项目名称/框架的明确功能定位；未逐一在线核验README</x:v>
      </x:c>
      <x:c r="S560" s="4" t="str">
        <x:v>鸿蒙开源项目列表</x:v>
      </x:c>
      <x:c r="T560" s="4" t="n">
        <x:v>558</x:v>
      </x:c>
      <x:c r="U560" s="4" t="str">
        <x:v>https://atomgit.com/OpenHarmonyPCDeveloper/ohos_XHbj</x:v>
      </x:c>
      <x:c r="V560" s="4" t="str">
        <x:v>https://atomgit.com/openharmonypcdeveloper/ohos_xhbj</x:v>
      </x:c>
    </x:row>
    <x:row r="561" ht="44" customHeight="1">
      <x:c r="A561" s="4" t="n">
        <x:v>556</x:v>
      </x:c>
      <x:c r="B561" s="4" t="str">
        <x:v>ohos_carnac_electron</x:v>
      </x:c>
      <x:c r="C561" s="4"/>
      <x:c r="D561" s="4" t="str">
        <x:v>未归入15类</x:v>
      </x:c>
      <x:c r="E561" s="4" t="str">
        <x:v>信息不足</x:v>
      </x:c>
      <x:c r="F561" s="4" t="n">
        <x:v>1</x:v>
      </x:c>
      <x:c r="G561" s="4" t="str">
        <x:v>待确认项目</x:v>
      </x:c>
      <x:c r="H561" s="4" t="str"/>
      <x:c r="I561" s="4" t="str">
        <x:v>桌面、TUI 与跨端应用</x:v>
      </x:c>
      <x:c r="J561" s="4" t="str">
        <x:v>JavaScript/TypeScript</x:v>
      </x:c>
      <x:c r="K561" s="4" t="str">
        <x:v>未获取</x:v>
      </x:c>
      <x:c r="L561" s="4" t="str">
        <x:v>Electron</x:v>
      </x:c>
      <x:c r="M561" s="4" t="n">
        <x:v>8</x:v>
      </x:c>
      <x:c r="N561" s="4" t="n">
        <x:v>4</x:v>
      </x:c>
      <x:c r="O561" s="4" t="n">
        <x:v>4</x:v>
      </x:c>
      <x:c r="P561" s="9" t="n">
        <x:v>1</x:v>
      </x:c>
      <x:c r="Q561" s="4"/>
      <x:c r="R561" s="4" t="str">
        <x:v>缺少明确功能描述，不按依赖或语言强行归类</x:v>
      </x:c>
      <x:c r="S561" s="4" t="str">
        <x:v>鸿蒙开源项目列表</x:v>
      </x:c>
      <x:c r="T561" s="4" t="n">
        <x:v>559</x:v>
      </x:c>
      <x:c r="U561" s="4" t="str">
        <x:v>https://atomgit.com/OpenHarmonyPCDeveloper/ohos_carnac_electron</x:v>
      </x:c>
      <x:c r="V561" s="4" t="str">
        <x:v>https://atomgit.com/openharmonypcdeveloper/ohos_carnac_electron</x:v>
      </x:c>
    </x:row>
    <x:row r="562" ht="44" customHeight="1">
      <x:c r="A562" s="4" t="n">
        <x:v>557</x:v>
      </x:c>
      <x:c r="B562" s="4" t="str">
        <x:v>ohos_chiner</x:v>
      </x:c>
      <x:c r="C562" s="4" t="n">
        <x:v>5</x:v>
      </x:c>
      <x:c r="D562" s="4" t="str">
        <x:v>数据库、存储与检索</x:v>
      </x:c>
      <x:c r="E562" s="4" t="str">
        <x:v>本地证据分类</x:v>
      </x:c>
      <x:c r="F562" s="4" t="n">
        <x:v>1</x:v>
      </x:c>
      <x:c r="G562" s="4" t="str">
        <x:v>软件项目</x:v>
      </x:c>
      <x:c r="H562" s="4" t="str">
        <x:v>数据管理/数据库工具</x:v>
      </x:c>
      <x:c r="I562" s="4" t="str">
        <x:v>桌面、TUI 与跨端应用</x:v>
      </x:c>
      <x:c r="J562" s="4" t="str">
        <x:v>JavaScript/TypeScript</x:v>
      </x:c>
      <x:c r="K562" s="4" t="str">
        <x:v>未获取</x:v>
      </x:c>
      <x:c r="L562" s="4" t="str">
        <x:v>Electron + @electron/remote</x:v>
      </x:c>
      <x:c r="M562" s="4" t="n">
        <x:v>9</x:v>
      </x:c>
      <x:c r="N562" s="4" t="n">
        <x:v>5</x:v>
      </x:c>
      <x:c r="O562" s="4" t="n">
        <x:v>2</x:v>
      </x:c>
      <x:c r="P562" s="9" t="n">
        <x:v>0.4</x:v>
      </x:c>
      <x:c r="Q562" s="4"/>
      <x:c r="R562" s="4" t="str">
        <x:v>项目名称/框架的明确功能定位；未逐一在线核验README</x:v>
      </x:c>
      <x:c r="S562" s="4" t="str">
        <x:v>鸿蒙开源项目列表</x:v>
      </x:c>
      <x:c r="T562" s="4" t="n">
        <x:v>560</x:v>
      </x:c>
      <x:c r="U562" s="4" t="str">
        <x:v>https://atomgit.com/OpenHarmonyPCDeveloper/ohos_chiner</x:v>
      </x:c>
      <x:c r="V562" s="4" t="str">
        <x:v>https://atomgit.com/openharmonypcdeveloper/ohos_chiner</x:v>
      </x:c>
    </x:row>
    <x:row r="563" ht="44" customHeight="1">
      <x:c r="A563" s="4" t="n">
        <x:v>558</x:v>
      </x:c>
      <x:c r="B563" s="4" t="str">
        <x:v>ohos_freeplane_electron</x:v>
      </x:c>
      <x:c r="C563" s="4" t="n">
        <x:v>10</x:v>
      </x:c>
      <x:c r="D563" s="4" t="str">
        <x:v>文档与办公数据处理</x:v>
      </x:c>
      <x:c r="E563" s="4" t="str">
        <x:v>本地证据分类</x:v>
      </x:c>
      <x:c r="F563" s="4" t="n">
        <x:v>1</x:v>
      </x:c>
      <x:c r="G563" s="4" t="str">
        <x:v>软件项目</x:v>
      </x:c>
      <x:c r="H563" s="4" t="str">
        <x:v>文档/知识内容</x:v>
      </x:c>
      <x:c r="I563" s="4" t="str">
        <x:v>桌面、TUI 与跨端应用</x:v>
      </x:c>
      <x:c r="J563" s="4" t="str">
        <x:v>JavaScript/TypeScript</x:v>
      </x:c>
      <x:c r="K563" s="4" t="str">
        <x:v>未获取</x:v>
      </x:c>
      <x:c r="L563" s="4" t="str">
        <x:v>Electron + 纯 DOM 引擎</x:v>
      </x:c>
      <x:c r="M563" s="4" t="n">
        <x:v>1</x:v>
      </x:c>
      <x:c r="N563" s="4" t="n">
        <x:v>1</x:v>
      </x:c>
      <x:c r="O563" s="4" t="n">
        <x:v>0</x:v>
      </x:c>
      <x:c r="P563" s="9" t="n">
        <x:v>0</x:v>
      </x:c>
      <x:c r="Q563" s="4"/>
      <x:c r="R563" s="4" t="str">
        <x:v>项目名称/框架的明确功能定位；未逐一在线核验README</x:v>
      </x:c>
      <x:c r="S563" s="4" t="str">
        <x:v>鸿蒙开源项目列表</x:v>
      </x:c>
      <x:c r="T563" s="4" t="n">
        <x:v>561</x:v>
      </x:c>
      <x:c r="U563" s="4" t="str">
        <x:v>https://atomgit.com/OpenHarmonyPCDeveloper/ohos_freeplane_electron</x:v>
      </x:c>
      <x:c r="V563" s="4" t="str">
        <x:v>https://atomgit.com/openharmonypcdeveloper/ohos_freeplane_electron</x:v>
      </x:c>
    </x:row>
    <x:row r="564" ht="44" customHeight="1">
      <x:c r="A564" s="4" t="n">
        <x:v>559</x:v>
      </x:c>
      <x:c r="B564" s="4" t="str">
        <x:v>ohos_imv_electron</x:v>
      </x:c>
      <x:c r="C564" s="4" t="n">
        <x:v>9</x:v>
      </x:c>
      <x:c r="D564" s="4" t="str">
        <x:v>图形、多媒体与实时应用</x:v>
      </x:c>
      <x:c r="E564" s="4" t="str">
        <x:v>本地证据分类</x:v>
      </x:c>
      <x:c r="F564" s="4" t="n">
        <x:v>1</x:v>
      </x:c>
      <x:c r="G564" s="4" t="str">
        <x:v>软件项目</x:v>
      </x:c>
      <x:c r="H564" s="4" t="str">
        <x:v>媒体/图形</x:v>
      </x:c>
      <x:c r="I564" s="4" t="str">
        <x:v>桌面、TUI 与跨端应用</x:v>
      </x:c>
      <x:c r="J564" s="4" t="str">
        <x:v>JavaScript/TypeScript</x:v>
      </x:c>
      <x:c r="K564" s="4" t="str">
        <x:v>未获取</x:v>
      </x:c>
      <x:c r="L564" s="4" t="str">
        <x:v>Electron</x:v>
      </x:c>
      <x:c r="M564" s="4" t="n">
        <x:v>9</x:v>
      </x:c>
      <x:c r="N564" s="4" t="n">
        <x:v>5</x:v>
      </x:c>
      <x:c r="O564" s="4" t="n">
        <x:v>3</x:v>
      </x:c>
      <x:c r="P564" s="9" t="n">
        <x:v>0.6</x:v>
      </x:c>
      <x:c r="Q564" s="4"/>
      <x:c r="R564" s="4" t="str">
        <x:v>项目名称/框架的明确功能定位；未逐一在线核验README</x:v>
      </x:c>
      <x:c r="S564" s="4" t="str">
        <x:v>鸿蒙开源项目列表</x:v>
      </x:c>
      <x:c r="T564" s="4" t="n">
        <x:v>562</x:v>
      </x:c>
      <x:c r="U564" s="4" t="str">
        <x:v>https://gitcode.com/OpenHarmonyPCDeveloper/ohos_imv_electron</x:v>
      </x:c>
      <x:c r="V564" s="4" t="str">
        <x:v>https://gitcode.com/openharmonypcdeveloper/ohos_imv_electron</x:v>
      </x:c>
    </x:row>
    <x:row r="565" ht="44" customHeight="1">
      <x:c r="A565" s="4" t="n">
        <x:v>560</x:v>
      </x:c>
      <x:c r="B565" s="4" t="str">
        <x:v>ohos_logseq</x:v>
      </x:c>
      <x:c r="C565" s="4" t="n">
        <x:v>10</x:v>
      </x:c>
      <x:c r="D565" s="4" t="str">
        <x:v>文档与办公数据处理</x:v>
      </x:c>
      <x:c r="E565" s="4" t="str">
        <x:v>本地证据分类</x:v>
      </x:c>
      <x:c r="F565" s="4" t="n">
        <x:v>1</x:v>
      </x:c>
      <x:c r="G565" s="4" t="str">
        <x:v>软件项目</x:v>
      </x:c>
      <x:c r="H565" s="4" t="str">
        <x:v>文档/知识内容</x:v>
      </x:c>
      <x:c r="I565" s="4" t="str">
        <x:v>桌面、TUI 与跨端应用</x:v>
      </x:c>
      <x:c r="J565" s="4" t="str">
        <x:v>JavaScript/TypeScript</x:v>
      </x:c>
      <x:c r="K565" s="4" t="str">
        <x:v>未获取</x:v>
      </x:c>
      <x:c r="L565" s="4" t="str">
        <x:v>Electron + 本地优先架构</x:v>
      </x:c>
      <x:c r="M565" s="4" t="n">
        <x:v>8</x:v>
      </x:c>
      <x:c r="N565" s="4" t="n">
        <x:v>4</x:v>
      </x:c>
      <x:c r="O565" s="4" t="n">
        <x:v>2</x:v>
      </x:c>
      <x:c r="P565" s="9" t="n">
        <x:v>0.5</x:v>
      </x:c>
      <x:c r="Q565" s="4"/>
      <x:c r="R565" s="4" t="str">
        <x:v>项目名称/框架的明确功能定位；未逐一在线核验README</x:v>
      </x:c>
      <x:c r="S565" s="4" t="str">
        <x:v>鸿蒙开源项目列表</x:v>
      </x:c>
      <x:c r="T565" s="4" t="n">
        <x:v>563</x:v>
      </x:c>
      <x:c r="U565" s="4" t="str">
        <x:v>https://atomgit.com/OpenHarmonyPCDeveloper/ohos_logseq</x:v>
      </x:c>
      <x:c r="V565" s="4" t="str">
        <x:v>https://atomgit.com/openharmonypcdeveloper/ohos_logseq</x:v>
      </x:c>
    </x:row>
    <x:row r="566" ht="44" customHeight="1">
      <x:c r="A566" s="4" t="n">
        <x:v>561</x:v>
      </x:c>
      <x:c r="B566" s="4" t="str">
        <x:v>ohos_marktext</x:v>
      </x:c>
      <x:c r="C566" s="4" t="n">
        <x:v>10</x:v>
      </x:c>
      <x:c r="D566" s="4" t="str">
        <x:v>文档与办公数据处理</x:v>
      </x:c>
      <x:c r="E566" s="4" t="str">
        <x:v>本地证据分类</x:v>
      </x:c>
      <x:c r="F566" s="4" t="n">
        <x:v>1</x:v>
      </x:c>
      <x:c r="G566" s="4" t="str">
        <x:v>软件项目</x:v>
      </x:c>
      <x:c r="H566" s="4" t="str">
        <x:v>文档/知识内容</x:v>
      </x:c>
      <x:c r="I566" s="4" t="str">
        <x:v>桌面、TUI 与跨端应用</x:v>
      </x:c>
      <x:c r="J566" s="4" t="str">
        <x:v>JavaScript/TypeScript</x:v>
      </x:c>
      <x:c r="K566" s="4" t="str">
        <x:v>未获取</x:v>
      </x:c>
      <x:c r="L566" s="4" t="str">
        <x:v>Electron + Vue</x:v>
      </x:c>
      <x:c r="M566" s="4" t="n">
        <x:v>57</x:v>
      </x:c>
      <x:c r="N566" s="4" t="n">
        <x:v>57</x:v>
      </x:c>
      <x:c r="O566" s="4" t="n">
        <x:v>42</x:v>
      </x:c>
      <x:c r="P566" s="9" t="n">
        <x:v>0.7368421052631579</x:v>
      </x:c>
      <x:c r="Q566" s="4"/>
      <x:c r="R566" s="4" t="str">
        <x:v>项目名称/框架的明确功能定位；未逐一在线核验README</x:v>
      </x:c>
      <x:c r="S566" s="4" t="str">
        <x:v>鸿蒙开源项目列表</x:v>
      </x:c>
      <x:c r="T566" s="4" t="n">
        <x:v>564</x:v>
      </x:c>
      <x:c r="U566" s="4" t="str">
        <x:v>https://atomgit.com/OpenHarmonyPCDeveloper/ohos_marktext</x:v>
      </x:c>
      <x:c r="V566" s="4" t="str">
        <x:v>https://atomgit.com/openharmonypcdeveloper/ohos_marktext</x:v>
      </x:c>
    </x:row>
    <x:row r="567" ht="44" customHeight="1">
      <x:c r="A567" s="4" t="n">
        <x:v>562</x:v>
      </x:c>
      <x:c r="B567" s="4" t="str">
        <x:v>ohos_shotwell_electron</x:v>
      </x:c>
      <x:c r="C567" s="4" t="n">
        <x:v>9</x:v>
      </x:c>
      <x:c r="D567" s="4" t="str">
        <x:v>图形、多媒体与实时应用</x:v>
      </x:c>
      <x:c r="E567" s="4" t="str">
        <x:v>本地证据分类</x:v>
      </x:c>
      <x:c r="F567" s="4" t="n">
        <x:v>1</x:v>
      </x:c>
      <x:c r="G567" s="4" t="str">
        <x:v>软件项目</x:v>
      </x:c>
      <x:c r="H567" s="4" t="str">
        <x:v>媒体/图形</x:v>
      </x:c>
      <x:c r="I567" s="4" t="str">
        <x:v>桌面、TUI 与跨端应用</x:v>
      </x:c>
      <x:c r="J567" s="4" t="str">
        <x:v>JavaScript/TypeScript</x:v>
      </x:c>
      <x:c r="K567" s="4" t="str">
        <x:v>未获取</x:v>
      </x:c>
      <x:c r="L567" s="4" t="str">
        <x:v>Electron</x:v>
      </x:c>
      <x:c r="M567" s="4" t="n">
        <x:v>9</x:v>
      </x:c>
      <x:c r="N567" s="4" t="n">
        <x:v>5</x:v>
      </x:c>
      <x:c r="O567" s="4" t="n">
        <x:v>3</x:v>
      </x:c>
      <x:c r="P567" s="9" t="n">
        <x:v>0.6</x:v>
      </x:c>
      <x:c r="Q567" s="4"/>
      <x:c r="R567" s="4" t="str">
        <x:v>项目名称/框架的明确功能定位；未逐一在线核验README</x:v>
      </x:c>
      <x:c r="S567" s="4" t="str">
        <x:v>鸿蒙开源项目列表</x:v>
      </x:c>
      <x:c r="T567" s="4" t="n">
        <x:v>565</x:v>
      </x:c>
      <x:c r="U567" s="4" t="str">
        <x:v>https://gitcode.com/OpenHarmonyPCDeveloper/ohos_shotwell_electron</x:v>
      </x:c>
      <x:c r="V567" s="4" t="str">
        <x:v>https://gitcode.com/openharmonypcdeveloper/ohos_shotwell_electron</x:v>
      </x:c>
    </x:row>
    <x:row r="568" ht="44" customHeight="1">
      <x:c r="A568" s="4" t="n">
        <x:v>563</x:v>
      </x:c>
      <x:c r="B568" s="4" t="str">
        <x:v>ohos_xournal_electron</x:v>
      </x:c>
      <x:c r="C568" s="4" t="n">
        <x:v>10</x:v>
      </x:c>
      <x:c r="D568" s="4" t="str">
        <x:v>文档与办公数据处理</x:v>
      </x:c>
      <x:c r="E568" s="4" t="str">
        <x:v>本地证据分类</x:v>
      </x:c>
      <x:c r="F568" s="4" t="n">
        <x:v>1</x:v>
      </x:c>
      <x:c r="G568" s="4" t="str">
        <x:v>软件项目</x:v>
      </x:c>
      <x:c r="H568" s="4" t="str">
        <x:v>文档/知识内容</x:v>
      </x:c>
      <x:c r="I568" s="4" t="str">
        <x:v>桌面、TUI 与跨端应用</x:v>
      </x:c>
      <x:c r="J568" s="4" t="str">
        <x:v>JavaScript/TypeScript</x:v>
      </x:c>
      <x:c r="K568" s="4" t="str">
        <x:v>未获取</x:v>
      </x:c>
      <x:c r="L568" s="4" t="str">
        <x:v>Electron + Excalidraw 引擎</x:v>
      </x:c>
      <x:c r="M568" s="4" t="n">
        <x:v>13</x:v>
      </x:c>
      <x:c r="N568" s="4" t="n">
        <x:v>9</x:v>
      </x:c>
      <x:c r="O568" s="4" t="n">
        <x:v>5</x:v>
      </x:c>
      <x:c r="P568" s="9" t="n">
        <x:v>0.5555555555555556</x:v>
      </x:c>
      <x:c r="Q568" s="4"/>
      <x:c r="R568" s="4" t="str">
        <x:v>项目名称/框架的明确功能定位；未逐一在线核验README</x:v>
      </x:c>
      <x:c r="S568" s="4" t="str">
        <x:v>鸿蒙开源项目列表</x:v>
      </x:c>
      <x:c r="T568" s="4" t="n">
        <x:v>566</x:v>
      </x:c>
      <x:c r="U568" s="4" t="str">
        <x:v>https://atomgit.com/OpenHarmonyPCDeveloper/ohos_xournal_electron</x:v>
      </x:c>
      <x:c r="V568" s="4" t="str">
        <x:v>https://atomgit.com/openharmonypcdeveloper/ohos_xournal_electron</x:v>
      </x:c>
    </x:row>
    <x:row r="569" ht="44" customHeight="1">
      <x:c r="A569" s="4" t="n">
        <x:v>564</x:v>
      </x:c>
      <x:c r="B569" s="4" t="str">
        <x:v>opendataloader</x:v>
      </x:c>
      <x:c r="C569" s="4" t="n">
        <x:v>10</x:v>
      </x:c>
      <x:c r="D569" s="4" t="str">
        <x:v>文档与办公数据处理</x:v>
      </x:c>
      <x:c r="E569" s="4" t="str">
        <x:v>本地证据分类</x:v>
      </x:c>
      <x:c r="F569" s="4" t="n">
        <x:v>0</x:v>
      </x:c>
      <x:c r="G569" s="4" t="str">
        <x:v>软件项目</x:v>
      </x:c>
      <x:c r="H569" s="4" t="str">
        <x:v>文档/知识内容</x:v>
      </x:c>
      <x:c r="I569" s="4" t="str">
        <x:v>当前页面未列入</x:v>
      </x:c>
      <x:c r="J569" s="4" t="str">
        <x:v>Java</x:v>
      </x:c>
      <x:c r="K569" s="4" t="str">
        <x:v>未获取</x:v>
      </x:c>
      <x:c r="L569" s="4" t="str">
        <x:v>N/A</x:v>
      </x:c>
      <x:c r="M569" s="4" t="n">
        <x:v>0</x:v>
      </x:c>
      <x:c r="N569" s="4"/>
      <x:c r="O569" s="4"/>
      <x:c r="P569" s="9"/>
      <x:c r="Q569" s="4" t="n">
        <x:v>331</x:v>
      </x:c>
      <x:c r="R569" s="4" t="str">
        <x:v>项目名称/框架的明确功能定位；未逐一在线核验README</x:v>
      </x:c>
      <x:c r="S569" s="4" t="str">
        <x:v>鸿蒙开源项目列表</x:v>
      </x:c>
      <x:c r="T569" s="4" t="n">
        <x:v>567</x:v>
      </x:c>
      <x:c r="U569" s="4" t="str">
        <x:v>https://github.com/opendataloader-project/opendataloader-pdf</x:v>
      </x:c>
      <x:c r="V569" s="4" t="str">
        <x:v>opendataloader-project/opendataloader-pdf</x:v>
      </x:c>
    </x:row>
    <x:row r="570" ht="44" customHeight="1">
      <x:c r="A570" s="4" t="n">
        <x:v>565</x:v>
      </x:c>
      <x:c r="B570" s="4" t="str">
        <x:v>outline</x:v>
      </x:c>
      <x:c r="C570" s="4" t="n">
        <x:v>6</x:v>
      </x:c>
      <x:c r="D570" s="4" t="str">
        <x:v>后端服务与业务流程</x:v>
      </x:c>
      <x:c r="E570" s="4" t="str">
        <x:v>本地证据分类</x:v>
      </x:c>
      <x:c r="F570" s="4" t="n">
        <x:v>0</x:v>
      </x:c>
      <x:c r="G570" s="4" t="str">
        <x:v>软件项目</x:v>
      </x:c>
      <x:c r="H570" s="4" t="str">
        <x:v>业务应用/确定性工作流</x:v>
      </x:c>
      <x:c r="I570" s="4" t="str">
        <x:v>Web 与业务服务</x:v>
      </x:c>
      <x:c r="J570" s="4" t="str">
        <x:v>JavaScript/TypeScript</x:v>
      </x:c>
      <x:c r="K570" s="4" t="str">
        <x:v>未获取</x:v>
      </x:c>
      <x:c r="L570" s="4" t="str">
        <x:v>Node.js + React</x:v>
      </x:c>
      <x:c r="M570" s="4" t="n">
        <x:v>5</x:v>
      </x:c>
      <x:c r="N570" s="4" t="n">
        <x:v>4</x:v>
      </x:c>
      <x:c r="O570" s="4" t="n">
        <x:v>2</x:v>
      </x:c>
      <x:c r="P570" s="9" t="n">
        <x:v>0.5</x:v>
      </x:c>
      <x:c r="Q570" s="4" t="n">
        <x:v>332</x:v>
      </x:c>
      <x:c r="R570" s="4" t="str">
        <x:v>项目名称/框架的明确功能定位；未逐一在线核验README</x:v>
      </x:c>
      <x:c r="S570" s="4" t="str">
        <x:v>鸿蒙开源项目列表</x:v>
      </x:c>
      <x:c r="T570" s="4" t="n">
        <x:v>568</x:v>
      </x:c>
      <x:c r="U570" s="4" t="str">
        <x:v>https://github.com/outline/outline</x:v>
      </x:c>
      <x:c r="V570" s="4" t="str">
        <x:v>outline/outline</x:v>
      </x:c>
    </x:row>
    <x:row r="571" ht="44" customHeight="1">
      <x:c r="A571" s="4" t="n">
        <x:v>566</x:v>
      </x:c>
      <x:c r="B571" s="4" t="str">
        <x:v>pandas</x:v>
      </x:c>
      <x:c r="C571" s="4" t="n">
        <x:v>8</x:v>
      </x:c>
      <x:c r="D571" s="4" t="str">
        <x:v>数据处理与科学计算</x:v>
      </x:c>
      <x:c r="E571" s="4" t="str">
        <x:v>元数据已核验</x:v>
      </x:c>
      <x:c r="F571" s="4" t="n">
        <x:v>1</x:v>
      </x:c>
      <x:c r="G571" s="4" t="str">
        <x:v>软件项目</x:v>
      </x:c>
      <x:c r="H571" s="4" t="str">
        <x:v>数据/行业分析</x:v>
      </x:c>
      <x:c r="I571" s="4" t="str">
        <x:v>当前页面未列入</x:v>
      </x:c>
      <x:c r="J571" s="4" t="str">
        <x:v>Python</x:v>
      </x:c>
      <x:c r="K571" s="4" t="str">
        <x:v>未获取</x:v>
      </x:c>
      <x:c r="L571" s="4" t="str">
        <x:v>N/A</x:v>
      </x:c>
      <x:c r="M571" s="4" t="n">
        <x:v>0</x:v>
      </x:c>
      <x:c r="N571" s="4"/>
      <x:c r="O571" s="4"/>
      <x:c r="P571" s="9"/>
      <x:c r="Q571" s="4"/>
      <x:c r="R571" s="4" t="str">
        <x:v>项目定位与GitHub描述人工对照</x:v>
      </x:c>
      <x:c r="S571" s="4" t="str">
        <x:v>鸿蒙开源项目列表</x:v>
      </x:c>
      <x:c r="T571" s="4" t="n">
        <x:v>569</x:v>
      </x:c>
      <x:c r="U571" s="4" t="str">
        <x:v>https://github.com/pandas-dev/pandas</x:v>
      </x:c>
      <x:c r="V571" s="4" t="str">
        <x:v>pandas-dev/pandas</x:v>
      </x:c>
    </x:row>
    <x:row r="572" ht="44" customHeight="1">
      <x:c r="A572" s="4" t="n">
        <x:v>567</x:v>
      </x:c>
      <x:c r="B572" s="4" t="str">
        <x:v>proxyee-down</x:v>
      </x:c>
      <x:c r="C572" s="4" t="n">
        <x:v>3</x:v>
      </x:c>
      <x:c r="D572" s="4" t="str">
        <x:v>网络与通信协议</x:v>
      </x:c>
      <x:c r="E572" s="4" t="str">
        <x:v>本地证据分类</x:v>
      </x:c>
      <x:c r="F572" s="4" t="n">
        <x:v>1</x:v>
      </x:c>
      <x:c r="G572" s="4" t="str">
        <x:v>软件项目</x:v>
      </x:c>
      <x:c r="H572" s="4" t="str">
        <x:v>网络通信</x:v>
      </x:c>
      <x:c r="I572" s="4" t="str">
        <x:v>当前页面未列入</x:v>
      </x:c>
      <x:c r="J572" s="4" t="str">
        <x:v>Java</x:v>
      </x:c>
      <x:c r="K572" s="4" t="str">
        <x:v>未获取</x:v>
      </x:c>
      <x:c r="L572" s="4" t="str">
        <x:v>N/A</x:v>
      </x:c>
      <x:c r="M572" s="4" t="n">
        <x:v>0</x:v>
      </x:c>
      <x:c r="N572" s="4"/>
      <x:c r="O572" s="4"/>
      <x:c r="P572" s="9"/>
      <x:c r="Q572" s="4"/>
      <x:c r="R572" s="4" t="str">
        <x:v>项目名称/框架的明确功能定位；未逐一在线核验README</x:v>
      </x:c>
      <x:c r="S572" s="4" t="str">
        <x:v>鸿蒙开源项目列表</x:v>
      </x:c>
      <x:c r="T572" s="4" t="n">
        <x:v>570</x:v>
      </x:c>
      <x:c r="U572" s="4" t="str">
        <x:v>https://github.com/proxyee-down-org/proxyee-down</x:v>
      </x:c>
      <x:c r="V572" s="4" t="str">
        <x:v>proxyee-down-org/proxyee-down</x:v>
      </x:c>
    </x:row>
    <x:row r="573" ht="44" customHeight="1">
      <x:c r="A573" s="4" t="n">
        <x:v>568</x:v>
      </x:c>
      <x:c r="B573" s="4" t="str">
        <x:v>qBittorrent</x:v>
      </x:c>
      <x:c r="C573" s="4" t="n">
        <x:v>3</x:v>
      </x:c>
      <x:c r="D573" s="4" t="str">
        <x:v>网络与通信协议</x:v>
      </x:c>
      <x:c r="E573" s="4" t="str">
        <x:v>本地证据分类</x:v>
      </x:c>
      <x:c r="F573" s="4" t="n">
        <x:v>1</x:v>
      </x:c>
      <x:c r="G573" s="4" t="str">
        <x:v>软件项目</x:v>
      </x:c>
      <x:c r="H573" s="4" t="str">
        <x:v>网络通信</x:v>
      </x:c>
      <x:c r="I573" s="4" t="str">
        <x:v>桌面、TUI 与跨端应用</x:v>
      </x:c>
      <x:c r="J573" s="4" t="str">
        <x:v>C/C++</x:v>
      </x:c>
      <x:c r="K573" s="4" t="str">
        <x:v>未获取</x:v>
      </x:c>
      <x:c r="L573" s="4" t="str">
        <x:v>Qt</x:v>
      </x:c>
      <x:c r="M573" s="4" t="n">
        <x:v>1</x:v>
      </x:c>
      <x:c r="N573" s="4" t="n">
        <x:v>1</x:v>
      </x:c>
      <x:c r="O573" s="4" t="n">
        <x:v>1</x:v>
      </x:c>
      <x:c r="P573" s="9" t="n">
        <x:v>1</x:v>
      </x:c>
      <x:c r="Q573" s="4"/>
      <x:c r="R573" s="4" t="str">
        <x:v>项目名称/框架的明确功能定位；未逐一在线核验README</x:v>
      </x:c>
      <x:c r="S573" s="4" t="str">
        <x:v>鸿蒙开源项目列表</x:v>
      </x:c>
      <x:c r="T573" s="4" t="n">
        <x:v>571</x:v>
      </x:c>
      <x:c r="U573" s="4" t="str">
        <x:v>https://github.com/qbittorrent/qBittorrent</x:v>
      </x:c>
      <x:c r="V573" s="4" t="str">
        <x:v>qbittorrent/qbittorrent</x:v>
      </x:c>
    </x:row>
    <x:row r="574" ht="44" customHeight="1">
      <x:c r="A574" s="4" t="n">
        <x:v>569</x:v>
      </x:c>
      <x:c r="B574" s="4" t="str">
        <x:v>rdbstore</x:v>
      </x:c>
      <x:c r="C574" s="4"/>
      <x:c r="D574" s="4" t="str">
        <x:v>未归入15类</x:v>
      </x:c>
      <x:c r="E574" s="4" t="str">
        <x:v>范围排除</x:v>
      </x:c>
      <x:c r="F574" s="4" t="n">
        <x:v>0</x:v>
      </x:c>
      <x:c r="G574" s="4" t="str">
        <x:v>平台应用/非三方库</x:v>
      </x:c>
      <x:c r="H574" s="4" t="str">
        <x:v>平台依赖</x:v>
      </x:c>
      <x:c r="I574" s="4" t="str">
        <x:v>当前页面未列入</x:v>
      </x:c>
      <x:c r="J574" s="4" t="str">
        <x:v>ArkTS</x:v>
      </x:c>
      <x:c r="K574" s="4" t="str">
        <x:v>未获取</x:v>
      </x:c>
      <x:c r="L574" s="4" t="str">
        <x:v>ArkUI</x:v>
      </x:c>
      <x:c r="M574" s="4" t="n">
        <x:v>0</x:v>
      </x:c>
      <x:c r="N574" s="4"/>
      <x:c r="O574" s="4"/>
      <x:c r="P574" s="9"/>
      <x:c r="Q574" s="4"/>
      <x:c r="R574" s="4" t="str">
        <x:v>源表标记ArkTS或ArkUI；单列平台范围，不计三方库验证分母</x:v>
      </x:c>
      <x:c r="S574" s="4" t="str">
        <x:v>鸿蒙开源项目列表</x:v>
      </x:c>
      <x:c r="T574" s="4" t="n">
        <x:v>572</x:v>
      </x:c>
      <x:c r="U574" s="4" t="str">
        <x:v>https://github.com/bytedance/rdbStore</x:v>
      </x:c>
      <x:c r="V574" s="4" t="str">
        <x:v>bytedance/rdbstore</x:v>
      </x:c>
    </x:row>
    <x:row r="575" ht="44" customHeight="1">
      <x:c r="A575" s="4" t="n">
        <x:v>570</x:v>
      </x:c>
      <x:c r="B575" s="4" t="str">
        <x:v>reaction</x:v>
      </x:c>
      <x:c r="C575" s="4" t="n">
        <x:v>6</x:v>
      </x:c>
      <x:c r="D575" s="4" t="str">
        <x:v>后端服务与业务流程</x:v>
      </x:c>
      <x:c r="E575" s="4" t="str">
        <x:v>本地证据分类</x:v>
      </x:c>
      <x:c r="F575" s="4" t="n">
        <x:v>1</x:v>
      </x:c>
      <x:c r="G575" s="4" t="str">
        <x:v>软件项目</x:v>
      </x:c>
      <x:c r="H575" s="4" t="str">
        <x:v>业务应用/确定性工作流</x:v>
      </x:c>
      <x:c r="I575" s="4" t="str">
        <x:v>Web 与业务服务</x:v>
      </x:c>
      <x:c r="J575" s="4" t="str">
        <x:v>JavaScript/TypeScript</x:v>
      </x:c>
      <x:c r="K575" s="4" t="str">
        <x:v>未获取</x:v>
      </x:c>
      <x:c r="L575" s="4" t="str">
        <x:v>Node.js + React</x:v>
      </x:c>
      <x:c r="M575" s="4" t="n">
        <x:v>4</x:v>
      </x:c>
      <x:c r="N575" s="4" t="n">
        <x:v>3</x:v>
      </x:c>
      <x:c r="O575" s="4" t="n">
        <x:v>2</x:v>
      </x:c>
      <x:c r="P575" s="9" t="n">
        <x:v>0.6666666666666666</x:v>
      </x:c>
      <x:c r="Q575" s="4"/>
      <x:c r="R575" s="4" t="str">
        <x:v>项目名称/框架的明确功能定位；未逐一在线核验README</x:v>
      </x:c>
      <x:c r="S575" s="4" t="str">
        <x:v>鸿蒙开源项目列表</x:v>
      </x:c>
      <x:c r="T575" s="4" t="n">
        <x:v>573</x:v>
      </x:c>
      <x:c r="U575" s="4" t="str">
        <x:v>https://github.com/reactioncommerce/reaction</x:v>
      </x:c>
      <x:c r="V575" s="4" t="str">
        <x:v>reactioncommerce/reaction</x:v>
      </x:c>
    </x:row>
    <x:row r="576" ht="44" customHeight="1">
      <x:c r="A576" s="4" t="n">
        <x:v>571</x:v>
      </x:c>
      <x:c r="B576" s="4" t="str">
        <x:v>rocket.chat</x:v>
      </x:c>
      <x:c r="C576" s="4" t="n">
        <x:v>6</x:v>
      </x:c>
      <x:c r="D576" s="4" t="str">
        <x:v>后端服务与业务流程</x:v>
      </x:c>
      <x:c r="E576" s="4" t="str">
        <x:v>本地证据分类</x:v>
      </x:c>
      <x:c r="F576" s="4" t="n">
        <x:v>1</x:v>
      </x:c>
      <x:c r="G576" s="4" t="str">
        <x:v>软件项目</x:v>
      </x:c>
      <x:c r="H576" s="4" t="str">
        <x:v>业务应用/确定性工作流</x:v>
      </x:c>
      <x:c r="I576" s="4" t="str">
        <x:v>Web 与业务服务</x:v>
      </x:c>
      <x:c r="J576" s="4" t="str">
        <x:v>JavaScript/TypeScript</x:v>
      </x:c>
      <x:c r="K576" s="4" t="str">
        <x:v>未获取</x:v>
      </x:c>
      <x:c r="L576" s="4" t="str">
        <x:v>Node.js + React</x:v>
      </x:c>
      <x:c r="M576" s="4" t="n">
        <x:v>4</x:v>
      </x:c>
      <x:c r="N576" s="4" t="n">
        <x:v>3</x:v>
      </x:c>
      <x:c r="O576" s="4" t="n">
        <x:v>1</x:v>
      </x:c>
      <x:c r="P576" s="9" t="n">
        <x:v>0.3333333333333333</x:v>
      </x:c>
      <x:c r="Q576" s="4"/>
      <x:c r="R576" s="4" t="str">
        <x:v>项目名称/框架的明确功能定位；未逐一在线核验README</x:v>
      </x:c>
      <x:c r="S576" s="4" t="str">
        <x:v>鸿蒙开源项目列表</x:v>
      </x:c>
      <x:c r="T576" s="4" t="n">
        <x:v>574</x:v>
      </x:c>
      <x:c r="U576" s="4" t="str">
        <x:v>https://github.com/RocketChat/Rocket.Chat</x:v>
      </x:c>
      <x:c r="V576" s="4" t="str">
        <x:v>rocketchat/rocket.chat</x:v>
      </x:c>
    </x:row>
    <x:row r="577" ht="44" customHeight="1">
      <x:c r="A577" s="4" t="n">
        <x:v>572</x:v>
      </x:c>
      <x:c r="B577" s="4" t="str">
        <x:v>ruoyi-vue-pro</x:v>
      </x:c>
      <x:c r="C577" s="4" t="n">
        <x:v>6</x:v>
      </x:c>
      <x:c r="D577" s="4" t="str">
        <x:v>后端服务与业务流程</x:v>
      </x:c>
      <x:c r="E577" s="4" t="str">
        <x:v>本地证据分类</x:v>
      </x:c>
      <x:c r="F577" s="4" t="n">
        <x:v>0</x:v>
      </x:c>
      <x:c r="G577" s="4" t="str">
        <x:v>软件项目</x:v>
      </x:c>
      <x:c r="H577" s="4" t="str">
        <x:v>业务应用/确定性工作流</x:v>
      </x:c>
      <x:c r="I577" s="4" t="str">
        <x:v>Web 与业务服务</x:v>
      </x:c>
      <x:c r="J577" s="4" t="str">
        <x:v>Java</x:v>
      </x:c>
      <x:c r="K577" s="4" t="str">
        <x:v>未获取</x:v>
      </x:c>
      <x:c r="L577" s="4" t="str">
        <x:v>N/A</x:v>
      </x:c>
      <x:c r="M577" s="4" t="n">
        <x:v>0</x:v>
      </x:c>
      <x:c r="N577" s="4" t="n">
        <x:v>9</x:v>
      </x:c>
      <x:c r="O577" s="4" t="n">
        <x:v>2</x:v>
      </x:c>
      <x:c r="P577" s="9" t="n">
        <x:v>0.2222222222222222</x:v>
      </x:c>
      <x:c r="Q577" s="4" t="n">
        <x:v>479</x:v>
      </x:c>
      <x:c r="R577" s="4" t="str">
        <x:v>项目名称/框架的明确功能定位；未逐一在线核验README</x:v>
      </x:c>
      <x:c r="S577" s="4" t="str">
        <x:v>鸿蒙开源项目列表</x:v>
      </x:c>
      <x:c r="T577" s="4" t="n">
        <x:v>575</x:v>
      </x:c>
      <x:c r="U577" s="4" t="str">
        <x:v>https://github.com/YunaiV/ruoyi-vue-pro</x:v>
      </x:c>
      <x:c r="V577" s="4" t="str">
        <x:v>yunaiv/ruoyi-vue-pro</x:v>
      </x:c>
    </x:row>
    <x:row r="578" ht="44" customHeight="1">
      <x:c r="A578" s="4" t="n">
        <x:v>573</x:v>
      </x:c>
      <x:c r="B578" s="4" t="str">
        <x:v>scrapy</x:v>
      </x:c>
      <x:c r="C578" s="4" t="n">
        <x:v>12</x:v>
      </x:c>
      <x:c r="D578" s="4" t="str">
        <x:v>办公软件与桌面操作自动化</x:v>
      </x:c>
      <x:c r="E578" s="4" t="str">
        <x:v>本地证据分类</x:v>
      </x:c>
      <x:c r="F578" s="4" t="n">
        <x:v>1</x:v>
      </x:c>
      <x:c r="G578" s="4" t="str">
        <x:v>软件项目</x:v>
      </x:c>
      <x:c r="H578" s="4" t="str">
        <x:v>办公/浏览器执行</x:v>
      </x:c>
      <x:c r="I578" s="4" t="str">
        <x:v>当前页面未列入</x:v>
      </x:c>
      <x:c r="J578" s="4" t="str">
        <x:v>Python</x:v>
      </x:c>
      <x:c r="K578" s="4" t="str">
        <x:v>未获取</x:v>
      </x:c>
      <x:c r="L578" s="4" t="str">
        <x:v>N/A</x:v>
      </x:c>
      <x:c r="M578" s="4" t="n">
        <x:v>0</x:v>
      </x:c>
      <x:c r="N578" s="4"/>
      <x:c r="O578" s="4"/>
      <x:c r="P578" s="9"/>
      <x:c r="Q578" s="4"/>
      <x:c r="R578" s="4" t="str">
        <x:v>项目名称/框架的明确功能定位；未逐一在线核验README</x:v>
      </x:c>
      <x:c r="S578" s="4" t="str">
        <x:v>鸿蒙开源项目列表</x:v>
      </x:c>
      <x:c r="T578" s="4" t="n">
        <x:v>576</x:v>
      </x:c>
      <x:c r="U578" s="4" t="str">
        <x:v>https://github.com/scrapy/scrapy</x:v>
      </x:c>
      <x:c r="V578" s="4" t="str">
        <x:v>scrapy/scrapy</x:v>
      </x:c>
    </x:row>
    <x:row r="579" ht="44" customHeight="1">
      <x:c r="A579" s="4" t="n">
        <x:v>574</x:v>
      </x:c>
      <x:c r="B579" s="4" t="str">
        <x:v>sherlock</x:v>
      </x:c>
      <x:c r="C579" s="4" t="n">
        <x:v>4</x:v>
      </x:c>
      <x:c r="D579" s="4" t="str">
        <x:v>安全与身份认证</x:v>
      </x:c>
      <x:c r="E579" s="4" t="str">
        <x:v>本地证据分类</x:v>
      </x:c>
      <x:c r="F579" s="4" t="n">
        <x:v>0</x:v>
      </x:c>
      <x:c r="G579" s="4" t="str">
        <x:v>软件项目</x:v>
      </x:c>
      <x:c r="H579" s="4" t="str">
        <x:v>公开信息检索/安全调查</x:v>
      </x:c>
      <x:c r="I579" s="4" t="str">
        <x:v>当前页面未列入</x:v>
      </x:c>
      <x:c r="J579" s="4" t="str">
        <x:v>Python</x:v>
      </x:c>
      <x:c r="K579" s="4" t="str">
        <x:v>未获取</x:v>
      </x:c>
      <x:c r="L579" s="4" t="str">
        <x:v>N/A</x:v>
      </x:c>
      <x:c r="M579" s="4" t="n">
        <x:v>0</x:v>
      </x:c>
      <x:c r="N579" s="4"/>
      <x:c r="O579" s="4"/>
      <x:c r="P579" s="9"/>
      <x:c r="Q579" s="4" t="n">
        <x:v>371</x:v>
      </x:c>
      <x:c r="R579" s="4" t="str">
        <x:v>项目名称/框架的明确功能定位；未逐一在线核验README</x:v>
      </x:c>
      <x:c r="S579" s="4" t="str">
        <x:v>鸿蒙开源项目列表</x:v>
      </x:c>
      <x:c r="T579" s="4" t="n">
        <x:v>577</x:v>
      </x:c>
      <x:c r="U579" s="4" t="str">
        <x:v>https://github.com/sherlock-project/sherlock</x:v>
      </x:c>
      <x:c r="V579" s="4" t="str">
        <x:v>sherlock-project/sherlock</x:v>
      </x:c>
    </x:row>
    <x:row r="580" ht="44" customHeight="1">
      <x:c r="A580" s="4" t="n">
        <x:v>575</x:v>
      </x:c>
      <x:c r="B580" s="4" t="str">
        <x:v>spring-boot-demo</x:v>
      </x:c>
      <x:c r="C580" s="4" t="n">
        <x:v>6</x:v>
      </x:c>
      <x:c r="D580" s="4" t="str">
        <x:v>后端服务与业务流程</x:v>
      </x:c>
      <x:c r="E580" s="4" t="str">
        <x:v>本地证据分类</x:v>
      </x:c>
      <x:c r="F580" s="4" t="n">
        <x:v>1</x:v>
      </x:c>
      <x:c r="G580" s="4" t="str">
        <x:v>软件项目</x:v>
      </x:c>
      <x:c r="H580" s="4" t="str">
        <x:v>业务应用/确定性工作流</x:v>
      </x:c>
      <x:c r="I580" s="4" t="str">
        <x:v>Web 与业务服务</x:v>
      </x:c>
      <x:c r="J580" s="4" t="str">
        <x:v>Java</x:v>
      </x:c>
      <x:c r="K580" s="4" t="str">
        <x:v>未获取</x:v>
      </x:c>
      <x:c r="L580" s="4" t="str">
        <x:v>Spring Boot 2</x:v>
      </x:c>
      <x:c r="M580" s="4" t="n">
        <x:v>8</x:v>
      </x:c>
      <x:c r="N580" s="4" t="n">
        <x:v>8</x:v>
      </x:c>
      <x:c r="O580" s="4" t="n">
        <x:v>2</x:v>
      </x:c>
      <x:c r="P580" s="9" t="n">
        <x:v>0.25</x:v>
      </x:c>
      <x:c r="Q580" s="4"/>
      <x:c r="R580" s="4" t="str">
        <x:v>项目名称/框架的明确功能定位；未逐一在线核验README</x:v>
      </x:c>
      <x:c r="S580" s="4" t="str">
        <x:v>鸿蒙开源项目列表</x:v>
      </x:c>
      <x:c r="T580" s="4" t="n">
        <x:v>578</x:v>
      </x:c>
      <x:c r="U580" s="4" t="str">
        <x:v>https://github.com/xkcoding/spring-boot-demo</x:v>
      </x:c>
      <x:c r="V580" s="4" t="str">
        <x:v>xkcoding/spring-boot-demo</x:v>
      </x:c>
    </x:row>
    <x:row r="581" ht="44" customHeight="1">
      <x:c r="A581" s="4" t="n">
        <x:v>576</x:v>
      </x:c>
      <x:c r="B581" s="4" t="str">
        <x:v>spring-boot-online-exam</x:v>
      </x:c>
      <x:c r="C581" s="4" t="n">
        <x:v>6</x:v>
      </x:c>
      <x:c r="D581" s="4" t="str">
        <x:v>后端服务与业务流程</x:v>
      </x:c>
      <x:c r="E581" s="4" t="str">
        <x:v>本地证据分类</x:v>
      </x:c>
      <x:c r="F581" s="4" t="n">
        <x:v>1</x:v>
      </x:c>
      <x:c r="G581" s="4" t="str">
        <x:v>软件项目</x:v>
      </x:c>
      <x:c r="H581" s="4" t="str">
        <x:v>业务应用/确定性工作流</x:v>
      </x:c>
      <x:c r="I581" s="4" t="str">
        <x:v>Web 与业务服务</x:v>
      </x:c>
      <x:c r="J581" s="4" t="str">
        <x:v>Java</x:v>
      </x:c>
      <x:c r="K581" s="4" t="str">
        <x:v>未获取</x:v>
      </x:c>
      <x:c r="L581" s="4" t="str">
        <x:v>Spring Boot + JPA</x:v>
      </x:c>
      <x:c r="M581" s="4" t="n">
        <x:v>4</x:v>
      </x:c>
      <x:c r="N581" s="4" t="n">
        <x:v>4</x:v>
      </x:c>
      <x:c r="O581" s="4" t="n">
        <x:v>2</x:v>
      </x:c>
      <x:c r="P581" s="9" t="n">
        <x:v>0.5</x:v>
      </x:c>
      <x:c r="Q581" s="4"/>
      <x:c r="R581" s="4" t="str">
        <x:v>项目名称/框架的明确功能定位；未逐一在线核验README</x:v>
      </x:c>
      <x:c r="S581" s="4" t="str">
        <x:v>鸿蒙开源项目列表</x:v>
      </x:c>
      <x:c r="T581" s="4" t="n">
        <x:v>579</x:v>
      </x:c>
      <x:c r="U581" s="4" t="str">
        <x:v>https://github.com/19920625lsg/spring-boot-online-exam</x:v>
      </x:c>
      <x:c r="V581" s="4" t="str">
        <x:v>19920625lsg/spring-boot-online-exam</x:v>
      </x:c>
    </x:row>
    <x:row r="582" ht="44" customHeight="1">
      <x:c r="A582" s="4" t="n">
        <x:v>577</x:v>
      </x:c>
      <x:c r="B582" s="4" t="str">
        <x:v>supervision</x:v>
      </x:c>
      <x:c r="C582" s="4" t="n">
        <x:v>11</x:v>
      </x:c>
      <x:c r="D582" s="4" t="str">
        <x:v>AI模型与机器学习</x:v>
      </x:c>
      <x:c r="E582" s="4" t="str">
        <x:v>本地证据分类</x:v>
      </x:c>
      <x:c r="F582" s="4" t="n">
        <x:v>1</x:v>
      </x:c>
      <x:c r="G582" s="4" t="str">
        <x:v>软件项目</x:v>
      </x:c>
      <x:c r="H582" s="4" t="str">
        <x:v>AI模型/推理</x:v>
      </x:c>
      <x:c r="I582" s="4" t="str">
        <x:v>当前页面未列入</x:v>
      </x:c>
      <x:c r="J582" s="4" t="str">
        <x:v>Python</x:v>
      </x:c>
      <x:c r="K582" s="4" t="str">
        <x:v>未获取</x:v>
      </x:c>
      <x:c r="L582" s="4" t="str">
        <x:v>N/A</x:v>
      </x:c>
      <x:c r="M582" s="4" t="n">
        <x:v>0</x:v>
      </x:c>
      <x:c r="N582" s="4"/>
      <x:c r="O582" s="4"/>
      <x:c r="P582" s="9"/>
      <x:c r="Q582" s="4"/>
      <x:c r="R582" s="4" t="str">
        <x:v>项目名称/框架的明确功能定位；未逐一在线核验README</x:v>
      </x:c>
      <x:c r="S582" s="4" t="str">
        <x:v>鸿蒙开源项目列表</x:v>
      </x:c>
      <x:c r="T582" s="4" t="n">
        <x:v>580</x:v>
      </x:c>
      <x:c r="U582" s="4" t="str">
        <x:v>https://github.com/roboflow/supervision</x:v>
      </x:c>
      <x:c r="V582" s="4" t="str">
        <x:v>roboflow/supervision</x:v>
      </x:c>
    </x:row>
    <x:row r="583" ht="44" customHeight="1">
      <x:c r="A583" s="4" t="n">
        <x:v>578</x:v>
      </x:c>
      <x:c r="B583" s="4" t="str">
        <x:v>termux-app</x:v>
      </x:c>
      <x:c r="C583" s="4" t="n">
        <x:v>2</x:v>
      </x:c>
      <x:c r="D583" s="4" t="str">
        <x:v>系统资源与原生互操作</x:v>
      </x:c>
      <x:c r="E583" s="4" t="str">
        <x:v>本地证据分类</x:v>
      </x:c>
      <x:c r="F583" s="4" t="n">
        <x:v>1</x:v>
      </x:c>
      <x:c r="G583" s="4" t="str">
        <x:v>软件项目</x:v>
      </x:c>
      <x:c r="H583" s="4" t="str">
        <x:v>终端/系统交互</x:v>
      </x:c>
      <x:c r="I583" s="4" t="str">
        <x:v>当前页面未列入</x:v>
      </x:c>
      <x:c r="J583" s="4" t="str">
        <x:v>Java</x:v>
      </x:c>
      <x:c r="K583" s="4" t="str">
        <x:v>未获取</x:v>
      </x:c>
      <x:c r="L583" s="4" t="str">
        <x:v>N/A</x:v>
      </x:c>
      <x:c r="M583" s="4" t="n">
        <x:v>0</x:v>
      </x:c>
      <x:c r="N583" s="4"/>
      <x:c r="O583" s="4"/>
      <x:c r="P583" s="9"/>
      <x:c r="Q583" s="4"/>
      <x:c r="R583" s="4" t="str">
        <x:v>项目名称/框架的明确功能定位；未逐一在线核验README</x:v>
      </x:c>
      <x:c r="S583" s="4" t="str">
        <x:v>鸿蒙开源项目列表</x:v>
      </x:c>
      <x:c r="T583" s="4" t="n">
        <x:v>581</x:v>
      </x:c>
      <x:c r="U583" s="4" t="str">
        <x:v>https://github.com/termux/termux-app</x:v>
      </x:c>
      <x:c r="V583" s="4" t="str">
        <x:v>termux/termux-app</x:v>
      </x:c>
    </x:row>
    <x:row r="584" ht="44" customHeight="1">
      <x:c r="A584" s="4" t="n">
        <x:v>579</x:v>
      </x:c>
      <x:c r="B584" s="4" t="str">
        <x:v>thefuck</x:v>
      </x:c>
      <x:c r="C584" s="4" t="n">
        <x:v>2</x:v>
      </x:c>
      <x:c r="D584" s="4" t="str">
        <x:v>系统资源与原生互操作</x:v>
      </x:c>
      <x:c r="E584" s="4" t="str">
        <x:v>本地证据分类</x:v>
      </x:c>
      <x:c r="F584" s="4" t="n">
        <x:v>1</x:v>
      </x:c>
      <x:c r="G584" s="4" t="str">
        <x:v>软件项目</x:v>
      </x:c>
      <x:c r="H584" s="4" t="str">
        <x:v>原生/系统接口</x:v>
      </x:c>
      <x:c r="I584" s="4" t="str">
        <x:v>当前页面未列入</x:v>
      </x:c>
      <x:c r="J584" s="4" t="str">
        <x:v>Python</x:v>
      </x:c>
      <x:c r="K584" s="4" t="str">
        <x:v>未获取</x:v>
      </x:c>
      <x:c r="L584" s="4" t="str">
        <x:v>N/A</x:v>
      </x:c>
      <x:c r="M584" s="4" t="n">
        <x:v>0</x:v>
      </x:c>
      <x:c r="N584" s="4"/>
      <x:c r="O584" s="4"/>
      <x:c r="P584" s="9"/>
      <x:c r="Q584" s="4"/>
      <x:c r="R584" s="4" t="str">
        <x:v>项目名称/框架的明确功能定位；未逐一在线核验README</x:v>
      </x:c>
      <x:c r="S584" s="4" t="str">
        <x:v>鸿蒙开源项目列表</x:v>
      </x:c>
      <x:c r="T584" s="4" t="n">
        <x:v>582</x:v>
      </x:c>
      <x:c r="U584" s="4" t="str">
        <x:v>https://github.com/nvbn/thefuck</x:v>
      </x:c>
      <x:c r="V584" s="4" t="str">
        <x:v>nvbn/thefuck</x:v>
      </x:c>
    </x:row>
    <x:row r="585" ht="44" customHeight="1">
      <x:c r="A585" s="4" t="n">
        <x:v>580</x:v>
      </x:c>
      <x:c r="B585" s="4" t="str">
        <x:v>vhr</x:v>
      </x:c>
      <x:c r="C585" s="4" t="n">
        <x:v>6</x:v>
      </x:c>
      <x:c r="D585" s="4" t="str">
        <x:v>后端服务与业务流程</x:v>
      </x:c>
      <x:c r="E585" s="4" t="str">
        <x:v>本地证据分类</x:v>
      </x:c>
      <x:c r="F585" s="4" t="n">
        <x:v>1</x:v>
      </x:c>
      <x:c r="G585" s="4" t="str">
        <x:v>软件项目</x:v>
      </x:c>
      <x:c r="H585" s="4" t="str">
        <x:v>业务应用/确定性工作流</x:v>
      </x:c>
      <x:c r="I585" s="4" t="str">
        <x:v>Web 与业务服务</x:v>
      </x:c>
      <x:c r="J585" s="4" t="str">
        <x:v>Java</x:v>
      </x:c>
      <x:c r="K585" s="4" t="str">
        <x:v>未获取</x:v>
      </x:c>
      <x:c r="L585" s="4" t="str">
        <x:v>Spring Boot + Vue</x:v>
      </x:c>
      <x:c r="M585" s="4" t="n">
        <x:v>5</x:v>
      </x:c>
      <x:c r="N585" s="4" t="n">
        <x:v>5</x:v>
      </x:c>
      <x:c r="O585" s="4" t="n">
        <x:v>1</x:v>
      </x:c>
      <x:c r="P585" s="9" t="n">
        <x:v>0.2</x:v>
      </x:c>
      <x:c r="Q585" s="4"/>
      <x:c r="R585" s="4" t="str">
        <x:v>项目名称/框架的明确功能定位；未逐一在线核验README</x:v>
      </x:c>
      <x:c r="S585" s="4" t="str">
        <x:v>鸿蒙开源项目列表</x:v>
      </x:c>
      <x:c r="T585" s="4" t="n">
        <x:v>583</x:v>
      </x:c>
      <x:c r="U585" s="4" t="str">
        <x:v>https://github.com/lenve/vhr</x:v>
      </x:c>
      <x:c r="V585" s="4" t="str">
        <x:v>lenve/vhr</x:v>
      </x:c>
    </x:row>
    <x:row r="586" ht="44" customHeight="1">
      <x:c r="A586" s="4" t="n">
        <x:v>581</x:v>
      </x:c>
      <x:c r="B586" s="4" t="str">
        <x:v>vuepress</x:v>
      </x:c>
      <x:c r="C586" s="4" t="n">
        <x:v>14</x:v>
      </x:c>
      <x:c r="D586" s="4" t="str">
        <x:v>软件构建、开发与测试</x:v>
      </x:c>
      <x:c r="E586" s="4" t="str">
        <x:v>本地证据分类</x:v>
      </x:c>
      <x:c r="F586" s="4" t="n">
        <x:v>1</x:v>
      </x:c>
      <x:c r="G586" s="4" t="str">
        <x:v>软件项目</x:v>
      </x:c>
      <x:c r="H586" s="4" t="str">
        <x:v>软件工程；编程Agent需额外挂13标签</x:v>
      </x:c>
      <x:c r="I586" s="4" t="str">
        <x:v>Web 与业务服务</x:v>
      </x:c>
      <x:c r="J586" s="4" t="str">
        <x:v>JavaScript/TypeScript</x:v>
      </x:c>
      <x:c r="K586" s="4" t="str">
        <x:v>未获取</x:v>
      </x:c>
      <x:c r="L586" s="4" t="str">
        <x:v>Vue</x:v>
      </x:c>
      <x:c r="M586" s="4" t="n">
        <x:v>3</x:v>
      </x:c>
      <x:c r="N586" s="4" t="n">
        <x:v>3</x:v>
      </x:c>
      <x:c r="O586" s="4" t="n">
        <x:v>3</x:v>
      </x:c>
      <x:c r="P586" s="9" t="n">
        <x:v>1</x:v>
      </x:c>
      <x:c r="Q586" s="4"/>
      <x:c r="R586" s="4" t="str">
        <x:v>项目名称/框架的明确功能定位；未逐一在线核验README</x:v>
      </x:c>
      <x:c r="S586" s="4" t="str">
        <x:v>鸿蒙开源项目列表</x:v>
      </x:c>
      <x:c r="T586" s="4" t="n">
        <x:v>584</x:v>
      </x:c>
      <x:c r="U586" s="4" t="str">
        <x:v>https://github.com/vuejs/vuepress</x:v>
      </x:c>
      <x:c r="V586" s="4" t="str">
        <x:v>vuejs/vuepress</x:v>
      </x:c>
    </x:row>
    <x:row r="587" ht="44" customHeight="1">
      <x:c r="A587" s="4" t="n">
        <x:v>582</x:v>
      </x:c>
      <x:c r="B587" s="4" t="str">
        <x:v>wan-harmony</x:v>
      </x:c>
      <x:c r="C587" s="4"/>
      <x:c r="D587" s="4" t="str">
        <x:v>未归入15类</x:v>
      </x:c>
      <x:c r="E587" s="4" t="str">
        <x:v>范围排除</x:v>
      </x:c>
      <x:c r="F587" s="4" t="n">
        <x:v>0</x:v>
      </x:c>
      <x:c r="G587" s="4" t="str">
        <x:v>平台应用/非三方库</x:v>
      </x:c>
      <x:c r="H587" s="4" t="str">
        <x:v>平台依赖</x:v>
      </x:c>
      <x:c r="I587" s="4" t="str">
        <x:v>当前页面未列入</x:v>
      </x:c>
      <x:c r="J587" s="4" t="str">
        <x:v>ArkTS</x:v>
      </x:c>
      <x:c r="K587" s="4" t="str">
        <x:v>未获取</x:v>
      </x:c>
      <x:c r="L587" s="4" t="str">
        <x:v>ArkUI</x:v>
      </x:c>
      <x:c r="M587" s="4" t="n">
        <x:v>0</x:v>
      </x:c>
      <x:c r="N587" s="4"/>
      <x:c r="O587" s="4"/>
      <x:c r="P587" s="9"/>
      <x:c r="Q587" s="4"/>
      <x:c r="R587" s="4" t="str">
        <x:v>源表标记ArkTS或ArkUI；单列平台范围，不计三方库验证分母</x:v>
      </x:c>
      <x:c r="S587" s="4" t="str">
        <x:v>鸿蒙开源项目列表</x:v>
      </x:c>
      <x:c r="T587" s="4" t="n">
        <x:v>585</x:v>
      </x:c>
      <x:c r="U587" s="4" t="str">
        <x:v>https://github.com/wangchenyan/wan-harmony</x:v>
      </x:c>
      <x:c r="V587" s="4" t="str">
        <x:v>wangchenyan/wan-harmony</x:v>
      </x:c>
    </x:row>
    <x:row r="588" ht="44" customHeight="1">
      <x:c r="A588" s="4" t="n">
        <x:v>583</x:v>
      </x:c>
      <x:c r="B588" s="4" t="str">
        <x:v>wiki.js</x:v>
      </x:c>
      <x:c r="C588" s="4" t="n">
        <x:v>6</x:v>
      </x:c>
      <x:c r="D588" s="4" t="str">
        <x:v>后端服务与业务流程</x:v>
      </x:c>
      <x:c r="E588" s="4" t="str">
        <x:v>本地证据分类</x:v>
      </x:c>
      <x:c r="F588" s="4" t="n">
        <x:v>1</x:v>
      </x:c>
      <x:c r="G588" s="4" t="str">
        <x:v>软件项目</x:v>
      </x:c>
      <x:c r="H588" s="4" t="str">
        <x:v>业务应用/确定性工作流</x:v>
      </x:c>
      <x:c r="I588" s="4" t="str">
        <x:v>Web 与业务服务</x:v>
      </x:c>
      <x:c r="J588" s="4" t="str">
        <x:v>JavaScript/TypeScript</x:v>
      </x:c>
      <x:c r="K588" s="4" t="str">
        <x:v>未获取</x:v>
      </x:c>
      <x:c r="L588" s="4" t="str">
        <x:v>Node.js + Vue</x:v>
      </x:c>
      <x:c r="M588" s="4" t="n">
        <x:v>4</x:v>
      </x:c>
      <x:c r="N588" s="4" t="n">
        <x:v>3</x:v>
      </x:c>
      <x:c r="O588" s="4" t="n">
        <x:v>2</x:v>
      </x:c>
      <x:c r="P588" s="9" t="n">
        <x:v>0.6666666666666666</x:v>
      </x:c>
      <x:c r="Q588" s="4"/>
      <x:c r="R588" s="4" t="str">
        <x:v>项目名称/框架的明确功能定位；未逐一在线核验README</x:v>
      </x:c>
      <x:c r="S588" s="4" t="str">
        <x:v>鸿蒙开源项目列表</x:v>
      </x:c>
      <x:c r="T588" s="4" t="n">
        <x:v>586</x:v>
      </x:c>
      <x:c r="U588" s="4" t="str">
        <x:v>https://github.com/requarks/wiki</x:v>
      </x:c>
      <x:c r="V588" s="4" t="str">
        <x:v>requarks/wiki</x:v>
      </x:c>
    </x:row>
    <x:row r="589" ht="44" customHeight="1">
      <x:c r="A589" s="4" t="n">
        <x:v>584</x:v>
      </x:c>
      <x:c r="B589" s="4" t="str">
        <x:v>yesplaymusic-ohos</x:v>
      </x:c>
      <x:c r="C589" s="4" t="n">
        <x:v>9</x:v>
      </x:c>
      <x:c r="D589" s="4" t="str">
        <x:v>图形、多媒体与实时应用</x:v>
      </x:c>
      <x:c r="E589" s="4" t="str">
        <x:v>本地证据分类</x:v>
      </x:c>
      <x:c r="F589" s="4" t="n">
        <x:v>1</x:v>
      </x:c>
      <x:c r="G589" s="4" t="str">
        <x:v>软件项目</x:v>
      </x:c>
      <x:c r="H589" s="4" t="str">
        <x:v>媒体/图形</x:v>
      </x:c>
      <x:c r="I589" s="4" t="str">
        <x:v>当前页面未列入</x:v>
      </x:c>
      <x:c r="J589" s="4" t="str">
        <x:v>JavaScript/TypeScript</x:v>
      </x:c>
      <x:c r="K589" s="4" t="str">
        <x:v>未获取</x:v>
      </x:c>
      <x:c r="L589" s="4" t="str">
        <x:v>Electron + Vue 2 + Express</x:v>
      </x:c>
      <x:c r="M589" s="4" t="n">
        <x:v>0</x:v>
      </x:c>
      <x:c r="N589" s="4"/>
      <x:c r="O589" s="4"/>
      <x:c r="P589" s="9"/>
      <x:c r="Q589" s="4"/>
      <x:c r="R589" s="4" t="str">
        <x:v>项目名称/框架的明确功能定位；未逐一在线核验README</x:v>
      </x:c>
      <x:c r="S589" s="4" t="str">
        <x:v>鸿蒙开源项目列表</x:v>
      </x:c>
      <x:c r="T589" s="4" t="n">
        <x:v>587</x:v>
      </x:c>
      <x:c r="U589" s="4" t="str">
        <x:v>https://harmonypc.csdn.net/6a3a2d1210ee7a33f2811376.html</x:v>
      </x:c>
      <x:c r="V589" s="4" t="str">
        <x:v>https://harmonypc.csdn.net/6a3a2d1210ee7a33f2811376.html</x:v>
      </x:c>
    </x:row>
    <x:row r="590" ht="44" customHeight="1">
      <x:c r="A590" s="4" t="n">
        <x:v>585</x:v>
      </x:c>
      <x:c r="B590" s="4" t="str">
        <x:v>youtube-dl</x:v>
      </x:c>
      <x:c r="C590" s="4" t="n">
        <x:v>9</x:v>
      </x:c>
      <x:c r="D590" s="4" t="str">
        <x:v>图形、多媒体与实时应用</x:v>
      </x:c>
      <x:c r="E590" s="4" t="str">
        <x:v>元数据已核验</x:v>
      </x:c>
      <x:c r="F590" s="4" t="n">
        <x:v>1</x:v>
      </x:c>
      <x:c r="G590" s="4" t="str">
        <x:v>软件项目</x:v>
      </x:c>
      <x:c r="H590" s="4" t="str">
        <x:v>媒体/图形</x:v>
      </x:c>
      <x:c r="I590" s="4" t="str">
        <x:v>当前页面未列入</x:v>
      </x:c>
      <x:c r="J590" s="4" t="str">
        <x:v>Python</x:v>
      </x:c>
      <x:c r="K590" s="4" t="str">
        <x:v>Python</x:v>
      </x:c>
      <x:c r="L590" s="4" t="str">
        <x:v>N/A</x:v>
      </x:c>
      <x:c r="M590" s="4" t="n">
        <x:v>0</x:v>
      </x:c>
      <x:c r="N590" s="4"/>
      <x:c r="O590" s="4"/>
      <x:c r="P590" s="9"/>
      <x:c r="Q590" s="4"/>
      <x:c r="R590" s="4" t="str">
        <x:v>项目定位与GitHub描述人工对照</x:v>
      </x:c>
      <x:c r="S590" s="4" t="str">
        <x:v>鸿蒙开源项目列表</x:v>
      </x:c>
      <x:c r="T590" s="4" t="n">
        <x:v>588</x:v>
      </x:c>
      <x:c r="U590" s="4" t="str">
        <x:v>https://github.com/ytdl-org/youtube-dl</x:v>
      </x:c>
      <x:c r="V590" s="4" t="str">
        <x:v>ytdl-org/youtube-dl</x:v>
      </x:c>
    </x:row>
    <x:row r="591" ht="44" customHeight="1">
      <x:c r="A591" s="4" t="n">
        <x:v>586</x:v>
      </x:c>
      <x:c r="B591" s="4" t="str">
        <x:v>yt-dlp</x:v>
      </x:c>
      <x:c r="C591" s="4" t="n">
        <x:v>9</x:v>
      </x:c>
      <x:c r="D591" s="4" t="str">
        <x:v>图形、多媒体与实时应用</x:v>
      </x:c>
      <x:c r="E591" s="4" t="str">
        <x:v>元数据已核验</x:v>
      </x:c>
      <x:c r="F591" s="4" t="n">
        <x:v>1</x:v>
      </x:c>
      <x:c r="G591" s="4" t="str">
        <x:v>软件项目</x:v>
      </x:c>
      <x:c r="H591" s="4" t="str">
        <x:v>媒体/图形</x:v>
      </x:c>
      <x:c r="I591" s="4" t="str">
        <x:v>当前页面未列入</x:v>
      </x:c>
      <x:c r="J591" s="4" t="str">
        <x:v>Python</x:v>
      </x:c>
      <x:c r="K591" s="4" t="str">
        <x:v>Python</x:v>
      </x:c>
      <x:c r="L591" s="4" t="str">
        <x:v>N/A</x:v>
      </x:c>
      <x:c r="M591" s="4" t="n">
        <x:v>0</x:v>
      </x:c>
      <x:c r="N591" s="4"/>
      <x:c r="O591" s="4"/>
      <x:c r="P591" s="9"/>
      <x:c r="Q591" s="4"/>
      <x:c r="R591" s="4" t="str">
        <x:v>项目定位与GitHub描述人工对照</x:v>
      </x:c>
      <x:c r="S591" s="4" t="str">
        <x:v>鸿蒙开源项目列表</x:v>
      </x:c>
      <x:c r="T591" s="4" t="n">
        <x:v>589</x:v>
      </x:c>
      <x:c r="U591" s="4" t="str">
        <x:v>https://github.com/yt-dlp/yt-dlp</x:v>
      </x:c>
      <x:c r="V591" s="4" t="str">
        <x:v>yt-dlp/yt-dlp</x:v>
      </x:c>
    </x:row>
    <x:row r="592" ht="44" customHeight="1">
      <x:c r="A592" s="4" t="n">
        <x:v>587</x:v>
      </x:c>
      <x:c r="B592" s="4" t="str">
        <x:v>买为</x:v>
      </x:c>
      <x:c r="C592" s="4"/>
      <x:c r="D592" s="4" t="str">
        <x:v>未归入15类</x:v>
      </x:c>
      <x:c r="E592" s="4" t="str">
        <x:v>信息不足</x:v>
      </x:c>
      <x:c r="F592" s="4" t="n">
        <x:v>1</x:v>
      </x:c>
      <x:c r="G592" s="4" t="str">
        <x:v>待确认项目</x:v>
      </x:c>
      <x:c r="H592" s="4" t="str"/>
      <x:c r="I592" s="4" t="str">
        <x:v>当前页面未列入</x:v>
      </x:c>
      <x:c r="J592" s="4" t="str">
        <x:v>JavaScript/TypeScript</x:v>
      </x:c>
      <x:c r="K592" s="4" t="str">
        <x:v>未获取</x:v>
      </x:c>
      <x:c r="L592" s="4" t="str">
        <x:v>N/A</x:v>
      </x:c>
      <x:c r="M592" s="4" t="n">
        <x:v>0</x:v>
      </x:c>
      <x:c r="N592" s="4"/>
      <x:c r="O592" s="4"/>
      <x:c r="P592" s="9"/>
      <x:c r="Q592" s="4"/>
      <x:c r="R592" s="4" t="str">
        <x:v>缺少明确功能描述，不按依赖或语言强行归类</x:v>
      </x:c>
      <x:c r="S592" s="4" t="str">
        <x:v>鸿蒙开源项目列表</x:v>
      </x:c>
      <x:c r="T592" s="4" t="n">
        <x:v>590</x:v>
      </x:c>
      <x:c r="U592" s="4" t="str">
        <x:v>https://github.com/aweihao/buy-it</x:v>
      </x:c>
      <x:c r="V592" s="4" t="str">
        <x:v>aweihao/buy-it</x:v>
      </x:c>
    </x:row>
    <x:row r="593" ht="44" customHeight="1">
      <x:c r="A593" s="4" t="n">
        <x:v>588</x:v>
      </x:c>
      <x:c r="B593" s="4" t="str">
        <x:v>仿今日头条</x:v>
      </x:c>
      <x:c r="C593" s="4"/>
      <x:c r="D593" s="4" t="str">
        <x:v>未归入15类</x:v>
      </x:c>
      <x:c r="E593" s="4" t="str">
        <x:v>范围排除</x:v>
      </x:c>
      <x:c r="F593" s="4" t="n">
        <x:v>0</x:v>
      </x:c>
      <x:c r="G593" s="4" t="str">
        <x:v>平台应用/非三方库</x:v>
      </x:c>
      <x:c r="H593" s="4" t="str">
        <x:v>平台依赖</x:v>
      </x:c>
      <x:c r="I593" s="4" t="str">
        <x:v>当前页面未列入</x:v>
      </x:c>
      <x:c r="J593" s="4" t="str">
        <x:v>ArkTS</x:v>
      </x:c>
      <x:c r="K593" s="4" t="str">
        <x:v>未获取</x:v>
      </x:c>
      <x:c r="L593" s="4" t="str">
        <x:v>ArkUI</x:v>
      </x:c>
      <x:c r="M593" s="4" t="n">
        <x:v>1</x:v>
      </x:c>
      <x:c r="N593" s="4"/>
      <x:c r="O593" s="4"/>
      <x:c r="P593" s="9"/>
      <x:c r="Q593" s="4"/>
      <x:c r="R593" s="4" t="str">
        <x:v>源表标记ArkTS或ArkUI；单列平台范围，不计三方库验证分母</x:v>
      </x:c>
      <x:c r="S593" s="4" t="str">
        <x:v>鸿蒙开源项目列表</x:v>
      </x:c>
      <x:c r="T593" s="4" t="n">
        <x:v>591</x:v>
      </x:c>
      <x:c r="U593" s="4" t="str">
        <x:v>https://github.com/pan372728544/TodayNews_harmony</x:v>
      </x:c>
      <x:c r="V593" s="4" t="str">
        <x:v>pan372728544/todaynews_harmony</x:v>
      </x:c>
    </x:row>
    <x:row r="594" ht="44" customHeight="1">
      <x:c r="A594" s="4" t="n">
        <x:v>589</x:v>
      </x:c>
      <x:c r="B594" s="4" t="str">
        <x:v>仿地图</x:v>
      </x:c>
      <x:c r="C594" s="4"/>
      <x:c r="D594" s="4" t="str">
        <x:v>未归入15类</x:v>
      </x:c>
      <x:c r="E594" s="4" t="str">
        <x:v>范围排除</x:v>
      </x:c>
      <x:c r="F594" s="4" t="n">
        <x:v>0</x:v>
      </x:c>
      <x:c r="G594" s="4" t="str">
        <x:v>平台应用/非三方库</x:v>
      </x:c>
      <x:c r="H594" s="4" t="str">
        <x:v>平台依赖</x:v>
      </x:c>
      <x:c r="I594" s="4" t="str">
        <x:v>桌面、TUI 与跨端应用</x:v>
      </x:c>
      <x:c r="J594" s="4" t="str">
        <x:v>ArkTS</x:v>
      </x:c>
      <x:c r="K594" s="4" t="str">
        <x:v>未获取</x:v>
      </x:c>
      <x:c r="L594" s="4" t="str">
        <x:v>ArkUI</x:v>
      </x:c>
      <x:c r="M594" s="4" t="n">
        <x:v>1</x:v>
      </x:c>
      <x:c r="N594" s="4" t="n">
        <x:v>1</x:v>
      </x:c>
      <x:c r="O594" s="4" t="n">
        <x:v>0</x:v>
      </x:c>
      <x:c r="P594" s="9" t="n">
        <x:v>0</x:v>
      </x:c>
      <x:c r="Q594" s="4"/>
      <x:c r="R594" s="4" t="str">
        <x:v>源表标记ArkTS或ArkUI；单列平台范围，不计三方库验证分母</x:v>
      </x:c>
      <x:c r="S594" s="4" t="str">
        <x:v>鸿蒙开源项目列表</x:v>
      </x:c>
      <x:c r="T594" s="4" t="n">
        <x:v>592</x:v>
      </x:c>
      <x:c r="U594" s="4" t="str">
        <x:v>https://developer.amap.com/api/harmonyosnext-map3d-sdk/download-demo</x:v>
      </x:c>
      <x:c r="V594" s="4" t="str">
        <x:v>https://developer.amap.com/api/harmonyosnext-map3d-sdk/download-demo</x:v>
      </x:c>
    </x:row>
    <x:row r="595" ht="44" customHeight="1">
      <x:c r="A595" s="4" t="n">
        <x:v>590</x:v>
      </x:c>
      <x:c r="B595" s="4" t="str">
        <x:v>仿网易严选</x:v>
      </x:c>
      <x:c r="C595" s="4"/>
      <x:c r="D595" s="4" t="str">
        <x:v>未归入15类</x:v>
      </x:c>
      <x:c r="E595" s="4" t="str">
        <x:v>范围排除</x:v>
      </x:c>
      <x:c r="F595" s="4" t="n">
        <x:v>0</x:v>
      </x:c>
      <x:c r="G595" s="4" t="str">
        <x:v>平台应用/非三方库</x:v>
      </x:c>
      <x:c r="H595" s="4" t="str">
        <x:v>平台依赖</x:v>
      </x:c>
      <x:c r="I595" s="4" t="str">
        <x:v>当前页面未列入</x:v>
      </x:c>
      <x:c r="J595" s="4" t="str">
        <x:v>ArkTS</x:v>
      </x:c>
      <x:c r="K595" s="4" t="str">
        <x:v>未获取</x:v>
      </x:c>
      <x:c r="L595" s="4" t="str">
        <x:v>ArkUI</x:v>
      </x:c>
      <x:c r="M595" s="4" t="n">
        <x:v>1</x:v>
      </x:c>
      <x:c r="N595" s="4"/>
      <x:c r="O595" s="4"/>
      <x:c r="P595" s="9"/>
      <x:c r="Q595" s="4"/>
      <x:c r="R595" s="4" t="str">
        <x:v>源表标记ArkTS或ArkUI；单列平台范围，不计三方库验证分母</x:v>
      </x:c>
      <x:c r="S595" s="4" t="str">
        <x:v>鸿蒙开源项目列表</x:v>
      </x:c>
      <x:c r="T595" s="4" t="n">
        <x:v>593</x:v>
      </x:c>
      <x:c r="U595" s="4" t="str">
        <x:v>https://github.com/softfatgay/harmony-netease</x:v>
      </x:c>
      <x:c r="V595" s="4" t="str">
        <x:v>softfatgay/harmony-netease</x:v>
      </x:c>
    </x:row>
    <x:row r="596" ht="44" customHeight="1">
      <x:c r="A596" s="4" t="n">
        <x:v>591</x:v>
      </x:c>
      <x:c r="B596" s="4" t="str">
        <x:v>仿网易云音乐</x:v>
      </x:c>
      <x:c r="C596" s="4"/>
      <x:c r="D596" s="4" t="str">
        <x:v>未归入15类</x:v>
      </x:c>
      <x:c r="E596" s="4" t="str">
        <x:v>范围排除</x:v>
      </x:c>
      <x:c r="F596" s="4" t="n">
        <x:v>0</x:v>
      </x:c>
      <x:c r="G596" s="4" t="str">
        <x:v>平台应用/非三方库</x:v>
      </x:c>
      <x:c r="H596" s="4" t="str">
        <x:v>平台依赖</x:v>
      </x:c>
      <x:c r="I596" s="4" t="str">
        <x:v>当前页面未列入</x:v>
      </x:c>
      <x:c r="J596" s="4" t="str">
        <x:v>ArkTS</x:v>
      </x:c>
      <x:c r="K596" s="4" t="str">
        <x:v>未获取</x:v>
      </x:c>
      <x:c r="L596" s="4" t="str">
        <x:v>ArkUI</x:v>
      </x:c>
      <x:c r="M596" s="4" t="n">
        <x:v>1</x:v>
      </x:c>
      <x:c r="N596" s="4"/>
      <x:c r="O596" s="4"/>
      <x:c r="P596" s="9"/>
      <x:c r="Q596" s="4"/>
      <x:c r="R596" s="4" t="str">
        <x:v>源表标记ArkTS或ArkUI；单列平台范围，不计三方库验证分母</x:v>
      </x:c>
      <x:c r="S596" s="4" t="str">
        <x:v>鸿蒙开源项目列表</x:v>
      </x:c>
      <x:c r="T596" s="4" t="n">
        <x:v>594</x:v>
      </x:c>
      <x:c r="U596" s="4" t="str">
        <x:v>https://github.com/sskEvan/NCMusicHarmony</x:v>
      </x:c>
      <x:c r="V596" s="4" t="str">
        <x:v>sskevan/ncmusicharmony</x:v>
      </x:c>
    </x:row>
    <x:row r="597" ht="44" customHeight="1">
      <x:c r="A597" s="4" t="n">
        <x:v>592</x:v>
      </x:c>
      <x:c r="B597" s="4" t="str">
        <x:v>小狐浏览器</x:v>
      </x:c>
      <x:c r="C597" s="4"/>
      <x:c r="D597" s="4" t="str">
        <x:v>未归入15类</x:v>
      </x:c>
      <x:c r="E597" s="4" t="str">
        <x:v>范围排除</x:v>
      </x:c>
      <x:c r="F597" s="4" t="n">
        <x:v>0</x:v>
      </x:c>
      <x:c r="G597" s="4" t="str">
        <x:v>平台应用/非三方库</x:v>
      </x:c>
      <x:c r="H597" s="4" t="str">
        <x:v>平台依赖</x:v>
      </x:c>
      <x:c r="I597" s="4" t="str">
        <x:v>当前页面未列入</x:v>
      </x:c>
      <x:c r="J597" s="4" t="str">
        <x:v>ArkTS</x:v>
      </x:c>
      <x:c r="K597" s="4" t="str">
        <x:v>未获取</x:v>
      </x:c>
      <x:c r="L597" s="4" t="str">
        <x:v>ArkUI</x:v>
      </x:c>
      <x:c r="M597" s="4" t="n">
        <x:v>0</x:v>
      </x:c>
      <x:c r="N597" s="4"/>
      <x:c r="O597" s="4"/>
      <x:c r="P597" s="9"/>
      <x:c r="Q597" s="4"/>
      <x:c r="R597" s="4" t="str">
        <x:v>源表标记ArkTS或ArkUI；单列平台范围，不计三方库验证分母</x:v>
      </x:c>
      <x:c r="S597" s="4" t="str">
        <x:v>鸿蒙开源项目列表</x:v>
      </x:c>
      <x:c r="T597" s="4" t="n">
        <x:v>595</x:v>
      </x:c>
      <x:c r="U597" s="4" t="str">
        <x:v>https://github.com/langwudong/browser</x:v>
      </x:c>
      <x:c r="V597" s="4" t="str">
        <x:v>langwudong/browser</x:v>
      </x:c>
    </x:row>
    <x:row r="598" ht="44" customHeight="1">
      <x:c r="A598" s="4" t="n">
        <x:v>593</x:v>
      </x:c>
      <x:c r="B598" s="4" t="str">
        <x:v>微信鸿蒙版</x:v>
      </x:c>
      <x:c r="C598" s="4"/>
      <x:c r="D598" s="4" t="str">
        <x:v>未归入15类</x:v>
      </x:c>
      <x:c r="E598" s="4" t="str">
        <x:v>范围排除</x:v>
      </x:c>
      <x:c r="F598" s="4" t="n">
        <x:v>0</x:v>
      </x:c>
      <x:c r="G598" s="4" t="str">
        <x:v>平台应用/非三方库</x:v>
      </x:c>
      <x:c r="H598" s="4" t="str">
        <x:v>平台依赖</x:v>
      </x:c>
      <x:c r="I598" s="4" t="str">
        <x:v>当前页面未列入</x:v>
      </x:c>
      <x:c r="J598" s="4" t="str">
        <x:v>ArkTS</x:v>
      </x:c>
      <x:c r="K598" s="4" t="str">
        <x:v>未获取</x:v>
      </x:c>
      <x:c r="L598" s="4" t="str">
        <x:v>ArkUI</x:v>
      </x:c>
      <x:c r="M598" s="4" t="n">
        <x:v>1</x:v>
      </x:c>
      <x:c r="N598" s="4"/>
      <x:c r="O598" s="4"/>
      <x:c r="P598" s="9"/>
      <x:c r="Q598" s="4"/>
      <x:c r="R598" s="4" t="str">
        <x:v>源表标记ArkTS或ArkUI；单列平台范围，不计三方库验证分母</x:v>
      </x:c>
      <x:c r="S598" s="4" t="str">
        <x:v>鸿蒙开源项目列表</x:v>
      </x:c>
      <x:c r="T598" s="4" t="n">
        <x:v>596</x:v>
      </x:c>
      <x:c r="U598" s="4" t="str">
        <x:v>https://github.com/ausboyue/Wechat_HarmonyOS</x:v>
      </x:c>
      <x:c r="V598" s="4" t="str">
        <x:v>ausboyue/wechat_harmonyos</x:v>
      </x:c>
    </x:row>
    <x:row r="599" ht="44" customHeight="1">
      <x:c r="A599" s="4" t="n">
        <x:v>594</x:v>
      </x:c>
      <x:c r="B599" s="4" t="str">
        <x:v>网易云音乐</x:v>
      </x:c>
      <x:c r="C599" s="4"/>
      <x:c r="D599" s="4" t="str">
        <x:v>未归入15类</x:v>
      </x:c>
      <x:c r="E599" s="4" t="str">
        <x:v>范围排除</x:v>
      </x:c>
      <x:c r="F599" s="4" t="n">
        <x:v>0</x:v>
      </x:c>
      <x:c r="G599" s="4" t="str">
        <x:v>平台应用/非三方库</x:v>
      </x:c>
      <x:c r="H599" s="4" t="str">
        <x:v>平台依赖</x:v>
      </x:c>
      <x:c r="I599" s="4" t="str">
        <x:v>当前页面未列入</x:v>
      </x:c>
      <x:c r="J599" s="4" t="str">
        <x:v>ArkTS</x:v>
      </x:c>
      <x:c r="K599" s="4" t="str">
        <x:v>未获取</x:v>
      </x:c>
      <x:c r="L599" s="4" t="str">
        <x:v>ArkUI</x:v>
      </x:c>
      <x:c r="M599" s="4" t="n">
        <x:v>0</x:v>
      </x:c>
      <x:c r="N599" s="4"/>
      <x:c r="O599" s="4"/>
      <x:c r="P599" s="9"/>
      <x:c r="Q599" s="4"/>
      <x:c r="R599" s="4" t="str">
        <x:v>源表标记ArkTS或ArkUI；单列平台范围，不计三方库验证分母</x:v>
      </x:c>
      <x:c r="S599" s="4" t="str">
        <x:v>鸿蒙开源项目列表</x:v>
      </x:c>
      <x:c r="T599" s="4" t="n">
        <x:v>597</x:v>
      </x:c>
      <x:c r="U599" s="4" t="str">
        <x:v>https://github.com/linwu-hi/open_neteasy_cloud</x:v>
      </x:c>
      <x:c r="V599" s="4" t="str">
        <x:v>linwu-hi/open_neteasy_cloud</x:v>
      </x:c>
    </x:row>
    <x:row r="600" ht="44" customHeight="1">
      <x:c r="A600" s="4" t="n">
        <x:v>595</x:v>
      </x:c>
      <x:c r="B600" s="4" t="str">
        <x:v>记账助手</x:v>
      </x:c>
      <x:c r="C600" s="4"/>
      <x:c r="D600" s="4" t="str">
        <x:v>未归入15类</x:v>
      </x:c>
      <x:c r="E600" s="4" t="str">
        <x:v>范围排除</x:v>
      </x:c>
      <x:c r="F600" s="4" t="n">
        <x:v>0</x:v>
      </x:c>
      <x:c r="G600" s="4" t="str">
        <x:v>平台应用/非三方库</x:v>
      </x:c>
      <x:c r="H600" s="4" t="str">
        <x:v>平台依赖</x:v>
      </x:c>
      <x:c r="I600" s="4" t="str">
        <x:v>当前页面未列入</x:v>
      </x:c>
      <x:c r="J600" s="4" t="str">
        <x:v>ArkTS</x:v>
      </x:c>
      <x:c r="K600" s="4" t="str">
        <x:v>未获取</x:v>
      </x:c>
      <x:c r="L600" s="4" t="str">
        <x:v>ArkUI</x:v>
      </x:c>
      <x:c r="M600" s="4" t="n">
        <x:v>0</x:v>
      </x:c>
      <x:c r="N600" s="4"/>
      <x:c r="O600" s="4"/>
      <x:c r="P600" s="9"/>
      <x:c r="Q600" s="4"/>
      <x:c r="R600" s="4" t="str">
        <x:v>源表标记ArkTS或ArkUI；单列平台范围，不计三方库验证分母</x:v>
      </x:c>
      <x:c r="S600" s="4" t="str">
        <x:v>鸿蒙开源项目列表</x:v>
      </x:c>
      <x:c r="T600" s="4" t="n">
        <x:v>598</x:v>
      </x:c>
      <x:c r="U600" s="4" t="str">
        <x:v>https://github.com/banggx/account_app_harmonyos</x:v>
      </x:c>
      <x:c r="V600" s="4" t="str">
        <x:v>banggx/account_app_harmonyos</x:v>
      </x:c>
    </x:row>
    <x:row r="601" ht="44" customHeight="1">
      <x:c r="A601" s="4" t="n">
        <x:v>596</x:v>
      </x:c>
      <x:c r="B601" s="4" t="str">
        <x:v>识笺</x:v>
      </x:c>
      <x:c r="C601" s="4"/>
      <x:c r="D601" s="4" t="str">
        <x:v>未归入15类</x:v>
      </x:c>
      <x:c r="E601" s="4" t="str">
        <x:v>范围排除</x:v>
      </x:c>
      <x:c r="F601" s="4" t="n">
        <x:v>0</x:v>
      </x:c>
      <x:c r="G601" s="4" t="str">
        <x:v>平台应用/非三方库</x:v>
      </x:c>
      <x:c r="H601" s="4" t="str">
        <x:v>平台依赖</x:v>
      </x:c>
      <x:c r="I601" s="4" t="str">
        <x:v>桌面、TUI 与跨端应用</x:v>
      </x:c>
      <x:c r="J601" s="4" t="str">
        <x:v>ArkTS</x:v>
      </x:c>
      <x:c r="K601" s="4" t="str">
        <x:v>未获取</x:v>
      </x:c>
      <x:c r="L601" s="4" t="str">
        <x:v>ArkUI</x:v>
      </x:c>
      <x:c r="M601" s="4" t="n">
        <x:v>2</x:v>
      </x:c>
      <x:c r="N601" s="4" t="n">
        <x:v>2</x:v>
      </x:c>
      <x:c r="O601" s="4" t="n">
        <x:v>0</x:v>
      </x:c>
      <x:c r="P601" s="9" t="n">
        <x:v>0</x:v>
      </x:c>
      <x:c r="Q601" s="4"/>
      <x:c r="R601" s="4" t="str">
        <x:v>源表标记ArkTS或ArkUI；单列平台范围，不计三方库验证分母</x:v>
      </x:c>
      <x:c r="S601" s="4" t="str">
        <x:v>鸿蒙开源项目列表</x:v>
      </x:c>
      <x:c r="T601" s="4" t="n">
        <x:v>599</x:v>
      </x:c>
      <x:c r="U601" s="4" t="str">
        <x:v>https://gitcode.com/nutpi/shijian</x:v>
      </x:c>
      <x:c r="V601" s="4" t="str">
        <x:v>https://gitcode.com/nutpi/shijian</x:v>
      </x:c>
    </x:row>
    <x:row r="602" ht="44" customHeight="1">
      <x:c r="A602" s="4" t="n">
        <x:v>597</x:v>
      </x:c>
      <x:c r="B602" s="4" t="str">
        <x:v>购物应用</x:v>
      </x:c>
      <x:c r="C602" s="4"/>
      <x:c r="D602" s="4" t="str">
        <x:v>未归入15类</x:v>
      </x:c>
      <x:c r="E602" s="4" t="str">
        <x:v>范围排除</x:v>
      </x:c>
      <x:c r="F602" s="4" t="n">
        <x:v>0</x:v>
      </x:c>
      <x:c r="G602" s="4" t="str">
        <x:v>平台应用/非三方库</x:v>
      </x:c>
      <x:c r="H602" s="4" t="str">
        <x:v>平台依赖</x:v>
      </x:c>
      <x:c r="I602" s="4" t="str">
        <x:v>当前页面未列入</x:v>
      </x:c>
      <x:c r="J602" s="4" t="str">
        <x:v>ArkTS</x:v>
      </x:c>
      <x:c r="K602" s="4" t="str">
        <x:v>未获取</x:v>
      </x:c>
      <x:c r="L602" s="4" t="str">
        <x:v>ArkUI</x:v>
      </x:c>
      <x:c r="M602" s="4" t="n">
        <x:v>1</x:v>
      </x:c>
      <x:c r="N602" s="4"/>
      <x:c r="O602" s="4"/>
      <x:c r="P602" s="9"/>
      <x:c r="Q602" s="4"/>
      <x:c r="R602" s="4" t="str">
        <x:v>源表标记ArkTS或ArkUI；单列平台范围，不计三方库验证分母</x:v>
      </x:c>
      <x:c r="S602" s="4" t="str">
        <x:v>鸿蒙开源项目列表</x:v>
      </x:c>
      <x:c r="T602" s="4" t="n">
        <x:v>600</x:v>
      </x:c>
      <x:c r="U602" s="4" t="str">
        <x:v>https://gitee.com/harmonyos/codelabs/tree/master/MultiShopping</x:v>
      </x:c>
      <x:c r="V602" s="4" t="str">
        <x:v>https://gitee.com/harmonyos/codelabs/tree/master/multishopping</x:v>
      </x:c>
    </x:row>
    <x:row r="603" ht="44" customHeight="1">
      <x:c r="A603" s="4" t="n">
        <x:v>598</x:v>
      </x:c>
      <x:c r="B603" s="4" t="str">
        <x:v>贴吧lite</x:v>
      </x:c>
      <x:c r="C603" s="4"/>
      <x:c r="D603" s="4" t="str">
        <x:v>未归入15类</x:v>
      </x:c>
      <x:c r="E603" s="4" t="str">
        <x:v>范围排除</x:v>
      </x:c>
      <x:c r="F603" s="4" t="n">
        <x:v>0</x:v>
      </x:c>
      <x:c r="G603" s="4" t="str">
        <x:v>平台应用/非三方库</x:v>
      </x:c>
      <x:c r="H603" s="4" t="str">
        <x:v>平台依赖</x:v>
      </x:c>
      <x:c r="I603" s="4" t="str">
        <x:v>当前页面未列入</x:v>
      </x:c>
      <x:c r="J603" s="4" t="str">
        <x:v>ArkTS</x:v>
      </x:c>
      <x:c r="K603" s="4" t="str">
        <x:v>未获取</x:v>
      </x:c>
      <x:c r="L603" s="4" t="str">
        <x:v>ArkUI</x:v>
      </x:c>
      <x:c r="M603" s="4" t="n">
        <x:v>0</x:v>
      </x:c>
      <x:c r="N603" s="4"/>
      <x:c r="O603" s="4"/>
      <x:c r="P603" s="9"/>
      <x:c r="Q603" s="4"/>
      <x:c r="R603" s="4" t="str">
        <x:v>源表标记ArkTS或ArkUI；单列平台范围，不计三方库验证分母</x:v>
      </x:c>
      <x:c r="S603" s="4" t="str">
        <x:v>鸿蒙开源项目列表</x:v>
      </x:c>
      <x:c r="T603" s="4" t="n">
        <x:v>601</x:v>
      </x:c>
      <x:c r="U603" s="4" t="str">
        <x:v>https://github.com/137458/tieba-lite-harmony</x:v>
      </x:c>
      <x:c r="V603" s="4" t="str">
        <x:v>137458/tieba-lite-harmony</x:v>
      </x:c>
    </x:row>
    <x:row r="604" ht="44" customHeight="1">
      <x:c r="A604" s="4" t="n">
        <x:v>599</x:v>
      </x:c>
      <x:c r="B604" s="4" t="str">
        <x:v>面试通</x:v>
      </x:c>
      <x:c r="C604" s="4"/>
      <x:c r="D604" s="4" t="str">
        <x:v>未归入15类</x:v>
      </x:c>
      <x:c r="E604" s="4" t="str">
        <x:v>范围排除</x:v>
      </x:c>
      <x:c r="F604" s="4" t="n">
        <x:v>0</x:v>
      </x:c>
      <x:c r="G604" s="4" t="str">
        <x:v>平台应用/非三方库</x:v>
      </x:c>
      <x:c r="H604" s="4" t="str">
        <x:v>平台依赖</x:v>
      </x:c>
      <x:c r="I604" s="4" t="str">
        <x:v>当前页面未列入</x:v>
      </x:c>
      <x:c r="J604" s="4" t="str">
        <x:v>ArkTS</x:v>
      </x:c>
      <x:c r="K604" s="4" t="str">
        <x:v>未获取</x:v>
      </x:c>
      <x:c r="L604" s="4" t="str">
        <x:v>ArkUI</x:v>
      </x:c>
      <x:c r="M604" s="4" t="n">
        <x:v>0</x:v>
      </x:c>
      <x:c r="N604" s="4"/>
      <x:c r="O604" s="4"/>
      <x:c r="P604" s="9"/>
      <x:c r="Q604" s="4"/>
      <x:c r="R604" s="4" t="str">
        <x:v>源表标记ArkTS或ArkUI；单列平台范围，不计三方库验证分母</x:v>
      </x:c>
      <x:c r="S604" s="4" t="str">
        <x:v>鸿蒙开源项目列表</x:v>
      </x:c>
      <x:c r="T604" s="4" t="n">
        <x:v>602</x:v>
      </x:c>
      <x:c r="U604" s="4" t="str">
        <x:v>https://github.com/HarmonyOS-Next/interview-handbook-project</x:v>
      </x:c>
      <x:c r="V604" s="4" t="str">
        <x:v>harmonyos-next/interview-handbook-project</x:v>
      </x:c>
    </x:row>
    <x:row r="605" ht="44" customHeight="1">
      <x:c r="A605" s="4" t="n">
        <x:v>600</x:v>
      </x:c>
      <x:c r="B605" s="4" t="str">
        <x:v>音乐专辑</x:v>
      </x:c>
      <x:c r="C605" s="4"/>
      <x:c r="D605" s="4" t="str">
        <x:v>未归入15类</x:v>
      </x:c>
      <x:c r="E605" s="4" t="str">
        <x:v>范围排除</x:v>
      </x:c>
      <x:c r="F605" s="4" t="n">
        <x:v>0</x:v>
      </x:c>
      <x:c r="G605" s="4" t="str">
        <x:v>平台应用/非三方库</x:v>
      </x:c>
      <x:c r="H605" s="4" t="str">
        <x:v>平台依赖</x:v>
      </x:c>
      <x:c r="I605" s="4" t="str">
        <x:v>当前页面未列入</x:v>
      </x:c>
      <x:c r="J605" s="4" t="str">
        <x:v>ArkTS</x:v>
      </x:c>
      <x:c r="K605" s="4" t="str">
        <x:v>未获取</x:v>
      </x:c>
      <x:c r="L605" s="4" t="str">
        <x:v>ArkUI</x:v>
      </x:c>
      <x:c r="M605" s="4" t="n">
        <x:v>1</x:v>
      </x:c>
      <x:c r="N605" s="4"/>
      <x:c r="O605" s="4"/>
      <x:c r="P605" s="9"/>
      <x:c r="Q605" s="4"/>
      <x:c r="R605" s="4" t="str">
        <x:v>源表标记ArkTS或ArkUI；单列平台范围，不计三方库验证分母</x:v>
      </x:c>
      <x:c r="S605" s="4" t="str">
        <x:v>鸿蒙开源项目列表</x:v>
      </x:c>
      <x:c r="T605" s="4" t="n">
        <x:v>603</x:v>
      </x:c>
      <x:c r="U605" s="4" t="str">
        <x:v>https://gitee.com/harmonyos/codelabs/tree/master/MultiDeviceMusic</x:v>
      </x:c>
      <x:c r="V605" s="4" t="str">
        <x:v>https://gitee.com/harmonyos/codelabs/tree/master/multidevicemusic</x:v>
      </x:c>
    </x:row>
    <x:row r="606" ht="44" customHeight="1">
      <x:c r="A606" s="4" t="n">
        <x:v>601</x:v>
      </x:c>
      <x:c r="B606" s="4" t="str">
        <x:v>鸿蒙Emby播放器</x:v>
      </x:c>
      <x:c r="C606" s="4"/>
      <x:c r="D606" s="4" t="str">
        <x:v>未归入15类</x:v>
      </x:c>
      <x:c r="E606" s="4" t="str">
        <x:v>范围排除</x:v>
      </x:c>
      <x:c r="F606" s="4" t="n">
        <x:v>0</x:v>
      </x:c>
      <x:c r="G606" s="4" t="str">
        <x:v>平台应用/非三方库</x:v>
      </x:c>
      <x:c r="H606" s="4" t="str">
        <x:v>平台依赖</x:v>
      </x:c>
      <x:c r="I606" s="4" t="str">
        <x:v>当前页面未列入</x:v>
      </x:c>
      <x:c r="J606" s="4" t="str">
        <x:v>ArkTS</x:v>
      </x:c>
      <x:c r="K606" s="4" t="str">
        <x:v>未获取</x:v>
      </x:c>
      <x:c r="L606" s="4" t="str">
        <x:v>ArkUI</x:v>
      </x:c>
      <x:c r="M606" s="4" t="n">
        <x:v>0</x:v>
      </x:c>
      <x:c r="N606" s="4"/>
      <x:c r="O606" s="4"/>
      <x:c r="P606" s="9"/>
      <x:c r="Q606" s="4"/>
      <x:c r="R606" s="4" t="str">
        <x:v>源表标记ArkTS或ArkUI；单列平台范围，不计三方库验证分母</x:v>
      </x:c>
      <x:c r="S606" s="4" t="str">
        <x:v>鸿蒙开源项目列表</x:v>
      </x:c>
      <x:c r="T606" s="4" t="n">
        <x:v>604</x:v>
      </x:c>
      <x:c r="U606" s="4" t="str">
        <x:v>https://github.com/Actrlq/Harflix</x:v>
      </x:c>
      <x:c r="V606" s="4" t="str">
        <x:v>actrlq/harflix</x:v>
      </x:c>
    </x:row>
  </x:sheetData>
  <x:conditionalFormatting sqref="E6:E606">
    <x:cfRule type="containsText" dxfId="0" priority="1" operator="containsText" text="不足"/>
    <x:cfRule type="containsText" dxfId="1" priority="2" operator="containsText" text="待"/>
  </x:conditionalFormatting>
  <x:pageMargins left="0.7" right="0.7" top="0.75" bottom="0.75" header="0.3" footer="0.3"/>
  <x:tableParts count="1">
    <x:tablePart xmlns:r="http://schemas.openxmlformats.org/officeDocument/2006/relationships" r:id="R3c35cac1f1924c84"/>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0" hidden="0" customWidth="1"/>
    <x:col min="2" max="2" width="13" hidden="0" customWidth="1"/>
    <x:col min="3" max="3" width="10" hidden="0" customWidth="1"/>
    <x:col min="4" max="4" width="28" hidden="0" customWidth="1"/>
    <x:col min="5" max="5" width="21" hidden="0" customWidth="1"/>
    <x:col min="6" max="6" width="13" hidden="0" customWidth="1"/>
    <x:col min="7" max="7" width="23" hidden="0" customWidth="1"/>
    <x:col min="8" max="8" width="36" hidden="0" customWidth="1"/>
    <x:col min="9" max="9" width="23" hidden="0" customWidth="1"/>
    <x:col min="10" max="10" width="68" hidden="0" customWidth="1"/>
    <x:col min="11" max="11" width="17" hidden="0" customWidth="1"/>
    <x:col min="12" max="12" width="24" hidden="0" customWidth="1"/>
    <x:col min="13" max="13" width="18" hidden="0" customWidth="1"/>
    <x:col min="14" max="14" width="22" hidden="0" customWidth="1"/>
    <x:col min="15" max="15" width="23" hidden="0" customWidth="1"/>
    <x:col min="16" max="16" width="30" hidden="0" customWidth="1"/>
    <x:col min="17" max="17" width="52" hidden="0" customWidth="1"/>
    <x:col min="18" max="18" width="63" hidden="0" customWidth="1"/>
    <x:col min="19" max="19" width="65" hidden="0" customWidth="1"/>
  </x:cols>
  <x:sheetData>
    <x:row r="2">
      <x:c r="A2" s="1" t="str">
        <x:v>GitHub高星样本：查询结果按功能重新归类</x:v>
      </x:c>
    </x:row>
    <x:row r="3">
      <x:c r="A3" t="str">
        <x:v>全局Top100（≥10,000星）＋15个关键词各取最多5项（≥5,000星）＋15个定向补充。去重后165项；不代表行业随机样本。</x:v>
      </x:c>
    </x:row>
    <x:row r="5" ht="32" customHeight="1">
      <x:c r="A5" s="8" t="str">
        <x:v>仓库</x:v>
      </x:c>
      <x:c r="B5" s="8" t="str">
        <x:v>Stars</x:v>
      </x:c>
      <x:c r="C5" s="8" t="str">
        <x:v>主类编号</x:v>
      </x:c>
      <x:c r="D5" s="8" t="str">
        <x:v>建议主分类</x:v>
      </x:c>
      <x:c r="E5" s="8" t="str">
        <x:v>证据状态</x:v>
      </x:c>
      <x:c r="F5" s="8" t="str">
        <x:v>纳入分母(1/0)</x:v>
      </x:c>
      <x:c r="G5" s="8" t="str">
        <x:v>对象类型</x:v>
      </x:c>
      <x:c r="H5" s="8" t="str">
        <x:v>跨类/行业标签</x:v>
      </x:c>
      <x:c r="I5" s="8" t="str">
        <x:v>GitHub主语言原值</x:v>
      </x:c>
      <x:c r="J5" s="8" t="str">
        <x:v>上游功能描述摘要</x:v>
      </x:c>
      <x:c r="K5" s="8" t="str">
        <x:v>全局Top100样本(1/0)</x:v>
      </x:c>
      <x:c r="L5" s="8" t="str">
        <x:v>查询组</x:v>
      </x:c>
      <x:c r="M5" s="8" t="str">
        <x:v>本地源序号</x:v>
      </x:c>
      <x:c r="N5" s="8" t="str">
        <x:v>许可原值/状态</x:v>
      </x:c>
      <x:c r="O5" s="8" t="str">
        <x:v>采集时间(UTC)</x:v>
      </x:c>
      <x:c r="P5" s="8" t="str">
        <x:v>取数方式</x:v>
      </x:c>
      <x:c r="Q5" s="8" t="str">
        <x:v>仓库链接</x:v>
      </x:c>
      <x:c r="R5" s="8" t="str">
        <x:v>原始查询</x:v>
      </x:c>
      <x:c r="S5" s="8" t="str">
        <x:v>取数来源链接</x:v>
      </x:c>
    </x:row>
    <x:row r="6" ht="86" customHeight="1">
      <x:c r="A6" s="4" t="str">
        <x:v>codecrafters-io/build-your-own-x</x:v>
      </x:c>
      <x:c r="B6" s="11" t="n">
        <x:v>546648</x:v>
      </x:c>
      <x:c r="C6" s="4"/>
      <x:c r="D6" s="4" t="str">
        <x:v>未归入15类</x:v>
      </x:c>
      <x:c r="E6" s="4" t="str">
        <x:v>范围排除</x:v>
      </x:c>
      <x:c r="F6" s="4" t="n">
        <x:v>0</x:v>
      </x:c>
      <x:c r="G6" s="4" t="str">
        <x:v>教程/资源/技能资产</x:v>
      </x:c>
      <x:c r="H6" s="4" t="str">
        <x:v>知识/数据资产</x:v>
      </x:c>
      <x:c r="I6" s="4" t="str">
        <x:v>Markdown</x:v>
      </x:c>
      <x:c r="J6" s="4" t="str">
        <x:v>Master programming by recreating your favorite technologies from scratch.</x:v>
      </x:c>
      <x:c r="K6" s="4" t="n">
        <x:v>1</x:v>
      </x:c>
      <x:c r="L6" s="4" t="str">
        <x:v>global</x:v>
      </x:c>
      <x:c r="M6" s="4" t="str">
        <x:v>169</x:v>
      </x:c>
      <x:c r="N6" s="4" t="str">
        <x:v>未核验许可</x:v>
      </x:c>
      <x:c r="O6" s="12" t="n">
        <x:v>46277.17107027778</x:v>
      </x:c>
      <x:c r="P6" s="4" t="str">
        <x:v>GitHub REST Search API</x:v>
      </x:c>
      <x:c r="Q6" s="4" t="str">
        <x:v>https://github.com/codecrafters-io/build-your-own-x</x:v>
      </x:c>
      <x:c r="R6" s="4" t="str">
        <x:v>stars:&gt;=10000 fork:false archived:false</x:v>
      </x:c>
      <x:c r="S6" s="4" t="str">
        <x:v>https://api.github.com/search/repositories?q=stars%3A%3E%3D10000%20fork%3Afalse%20archived%3Afalse&amp;sort=stars&amp;order=desc&amp;per_page=100</x:v>
      </x:c>
    </x:row>
    <x:row r="7" ht="86" customHeight="1">
      <x:c r="A7" s="4" t="str">
        <x:v>sindresorhus/awesome</x:v>
      </x:c>
      <x:c r="B7" s="11" t="n">
        <x:v>505205</x:v>
      </x:c>
      <x:c r="C7" s="4"/>
      <x:c r="D7" s="4" t="str">
        <x:v>未归入15类</x:v>
      </x:c>
      <x:c r="E7" s="4" t="str">
        <x:v>范围排除</x:v>
      </x:c>
      <x:c r="F7" s="4" t="n">
        <x:v>0</x:v>
      </x:c>
      <x:c r="G7" s="4" t="str">
        <x:v>教程/资源/技能资产</x:v>
      </x:c>
      <x:c r="H7" s="4" t="str">
        <x:v>知识/数据资产</x:v>
      </x:c>
      <x:c r="I7" s="4" t="str">
        <x:v>未获取/未识别</x:v>
      </x:c>
      <x:c r="J7" s="4" t="str">
        <x:v>😎 Awesome lists about all kinds of interesting topics [NOTE: Pull requests are temporarily disabled until I have a chance to catch up with the existing ones]</x:v>
      </x:c>
      <x:c r="K7" s="4" t="n">
        <x:v>1</x:v>
      </x:c>
      <x:c r="L7" s="4" t="str">
        <x:v>global</x:v>
      </x:c>
      <x:c r="M7" s="4" t="str"/>
      <x:c r="N7" s="4" t="str">
        <x:v>CC0-1.0</x:v>
      </x:c>
      <x:c r="O7" s="12" t="n">
        <x:v>46277.17107027778</x:v>
      </x:c>
      <x:c r="P7" s="4" t="str">
        <x:v>GitHub REST Search API</x:v>
      </x:c>
      <x:c r="Q7" s="4" t="str">
        <x:v>https://github.com/sindresorhus/awesome</x:v>
      </x:c>
      <x:c r="R7" s="4" t="str">
        <x:v>stars:&gt;=10000 fork:false archived:false</x:v>
      </x:c>
      <x:c r="S7" s="4" t="str">
        <x:v>https://api.github.com/search/repositories?q=stars%3A%3E%3D10000%20fork%3Afalse%20archived%3Afalse&amp;sort=stars&amp;order=desc&amp;per_page=100</x:v>
      </x:c>
    </x:row>
    <x:row r="8" ht="86" customHeight="1">
      <x:c r="A8" s="4" t="str">
        <x:v>public-apis/public-apis</x:v>
      </x:c>
      <x:c r="B8" s="11" t="n">
        <x:v>479076</x:v>
      </x:c>
      <x:c r="C8" s="4"/>
      <x:c r="D8" s="4" t="str">
        <x:v>未归入15类</x:v>
      </x:c>
      <x:c r="E8" s="4" t="str">
        <x:v>范围排除</x:v>
      </x:c>
      <x:c r="F8" s="4" t="n">
        <x:v>0</x:v>
      </x:c>
      <x:c r="G8" s="4" t="str">
        <x:v>教程/资源/技能资产</x:v>
      </x:c>
      <x:c r="H8" s="4" t="str">
        <x:v>知识/数据资产</x:v>
      </x:c>
      <x:c r="I8" s="4" t="str">
        <x:v>Python</x:v>
      </x:c>
      <x:c r="J8" s="4" t="str">
        <x:v>A collective list of free APIs</x:v>
      </x:c>
      <x:c r="K8" s="4" t="n">
        <x:v>1</x:v>
      </x:c>
      <x:c r="L8" s="4" t="str">
        <x:v>global</x:v>
      </x:c>
      <x:c r="M8" s="4" t="str">
        <x:v>348</x:v>
      </x:c>
      <x:c r="N8" s="4" t="str">
        <x:v>MIT</x:v>
      </x:c>
      <x:c r="O8" s="12" t="n">
        <x:v>46277.17107027778</x:v>
      </x:c>
      <x:c r="P8" s="4" t="str">
        <x:v>GitHub REST Search API</x:v>
      </x:c>
      <x:c r="Q8" s="4" t="str">
        <x:v>https://github.com/public-apis/public-apis</x:v>
      </x:c>
      <x:c r="R8" s="4" t="str">
        <x:v>stars:&gt;=10000 fork:false archived:false</x:v>
      </x:c>
      <x:c r="S8" s="4" t="str">
        <x:v>https://api.github.com/search/repositories?q=stars%3A%3E%3D10000%20fork%3Afalse%20archived%3Afalse&amp;sort=stars&amp;order=desc&amp;per_page=100</x:v>
      </x:c>
    </x:row>
    <x:row r="9" ht="86" customHeight="1">
      <x:c r="A9" s="4" t="str">
        <x:v>freeCodeCamp/freeCodeCamp</x:v>
      </x:c>
      <x:c r="B9" s="11" t="n">
        <x:v>455331</x:v>
      </x:c>
      <x:c r="C9" s="4" t="n">
        <x:v>6</x:v>
      </x:c>
      <x:c r="D9" s="4" t="str">
        <x:v>后端服务与业务流程</x:v>
      </x:c>
      <x:c r="E9" s="4" t="str">
        <x:v>元数据已核验</x:v>
      </x:c>
      <x:c r="F9" s="4" t="n">
        <x:v>1</x:v>
      </x:c>
      <x:c r="G9" s="4" t="str">
        <x:v>软件项目</x:v>
      </x:c>
      <x:c r="H9" s="4" t="str">
        <x:v>业务应用/确定性工作流</x:v>
      </x:c>
      <x:c r="I9" s="4" t="str">
        <x:v>TypeScript</x:v>
      </x:c>
      <x:c r="J9" s="4" t="str">
        <x:v>freeCodeCamp.org's open-source codebase and curriculum. Learn math, programming, and computer science for free.</x:v>
      </x:c>
      <x:c r="K9" s="4" t="n">
        <x:v>1</x:v>
      </x:c>
      <x:c r="L9" s="4" t="str">
        <x:v>global</x:v>
      </x:c>
      <x:c r="M9" s="4" t="str"/>
      <x:c r="N9" s="4" t="str">
        <x:v>BSD-3-Clause</x:v>
      </x:c>
      <x:c r="O9" s="12" t="n">
        <x:v>46277.17107027778</x:v>
      </x:c>
      <x:c r="P9" s="4" t="str">
        <x:v>GitHub REST Search API</x:v>
      </x:c>
      <x:c r="Q9" s="4" t="str">
        <x:v>https://github.com/freeCodeCamp/freeCodeCamp</x:v>
      </x:c>
      <x:c r="R9" s="4" t="str">
        <x:v>stars:&gt;=10000 fork:false archived:false</x:v>
      </x:c>
      <x:c r="S9" s="4" t="str">
        <x:v>https://api.github.com/search/repositories?q=stars%3A%3E%3D10000%20fork%3Afalse%20archived%3Afalse&amp;sort=stars&amp;order=desc&amp;per_page=100</x:v>
      </x:c>
    </x:row>
    <x:row r="10" ht="86" customHeight="1">
      <x:c r="A10" s="4" t="str">
        <x:v>EbookFoundation/free-programming-books</x:v>
      </x:c>
      <x:c r="B10" s="11" t="n">
        <x:v>396558</x:v>
      </x:c>
      <x:c r="C10" s="4"/>
      <x:c r="D10" s="4" t="str">
        <x:v>未归入15类</x:v>
      </x:c>
      <x:c r="E10" s="4" t="str">
        <x:v>范围排除</x:v>
      </x:c>
      <x:c r="F10" s="4" t="n">
        <x:v>0</x:v>
      </x:c>
      <x:c r="G10" s="4" t="str">
        <x:v>教程/资源/技能资产</x:v>
      </x:c>
      <x:c r="H10" s="4" t="str">
        <x:v>知识/数据资产</x:v>
      </x:c>
      <x:c r="I10" s="4" t="str">
        <x:v>Python</x:v>
      </x:c>
      <x:c r="J10" s="4" t="str">
        <x:v>:books: Freely available programming books</x:v>
      </x:c>
      <x:c r="K10" s="4" t="n">
        <x:v>1</x:v>
      </x:c>
      <x:c r="L10" s="4" t="str">
        <x:v>global</x:v>
      </x:c>
      <x:c r="M10" s="4" t="str"/>
      <x:c r="N10" s="4" t="str">
        <x:v>CC-BY-4.0</x:v>
      </x:c>
      <x:c r="O10" s="12" t="n">
        <x:v>46277.17107027778</x:v>
      </x:c>
      <x:c r="P10" s="4" t="str">
        <x:v>GitHub REST Search API</x:v>
      </x:c>
      <x:c r="Q10" s="4" t="str">
        <x:v>https://github.com/EbookFoundation/free-programming-books</x:v>
      </x:c>
      <x:c r="R10" s="4" t="str">
        <x:v>stars:&gt;=10000 fork:false archived:false</x:v>
      </x:c>
      <x:c r="S10" s="4" t="str">
        <x:v>https://api.github.com/search/repositories?q=stars%3A%3E%3D10000%20fork%3Afalse%20archived%3Afalse&amp;sort=stars&amp;order=desc&amp;per_page=100</x:v>
      </x:c>
    </x:row>
    <x:row r="11" ht="86" customHeight="1">
      <x:c r="A11" s="4" t="str">
        <x:v>openclaw/openclaw</x:v>
      </x:c>
      <x:c r="B11" s="11" t="n">
        <x:v>389468</x:v>
      </x:c>
      <x:c r="C11" s="4" t="n">
        <x:v>13</x:v>
      </x:c>
      <x:c r="D11" s="4" t="str">
        <x:v>Agent编排与工具执行</x:v>
      </x:c>
      <x:c r="E11" s="4" t="str">
        <x:v>元数据已核验</x:v>
      </x:c>
      <x:c r="F11" s="4" t="n">
        <x:v>1</x:v>
      </x:c>
      <x:c r="G11" s="4" t="str">
        <x:v>软件项目</x:v>
      </x:c>
      <x:c r="H11" s="4" t="str">
        <x:v>Agent/模型与工具</x:v>
      </x:c>
      <x:c r="I11" s="4" t="str">
        <x:v>TypeScript</x:v>
      </x:c>
      <x:c r="J11" s="4" t="str">
        <x:v>The AI that really does things. Any OS. Any Platform. The lobster way. 🦞 </x:v>
      </x:c>
      <x:c r="K11" s="4" t="n">
        <x:v>1</x:v>
      </x:c>
      <x:c r="L11" s="4" t="str">
        <x:v>global</x:v>
      </x:c>
      <x:c r="M11" s="4" t="str"/>
      <x:c r="N11" s="4" t="str">
        <x:v>NOASSERTION</x:v>
      </x:c>
      <x:c r="O11" s="12" t="n">
        <x:v>46277.17107027778</x:v>
      </x:c>
      <x:c r="P11" s="4" t="str">
        <x:v>GitHub REST Search API</x:v>
      </x:c>
      <x:c r="Q11" s="4" t="str">
        <x:v>https://github.com/openclaw/openclaw</x:v>
      </x:c>
      <x:c r="R11" s="4" t="str">
        <x:v>stars:&gt;=10000 fork:false archived:false</x:v>
      </x:c>
      <x:c r="S11" s="4" t="str">
        <x:v>https://api.github.com/search/repositories?q=stars%3A%3E%3D10000%20fork%3Afalse%20archived%3Afalse&amp;sort=stars&amp;order=desc&amp;per_page=100</x:v>
      </x:c>
    </x:row>
    <x:row r="12" ht="86" customHeight="1">
      <x:c r="A12" s="4" t="str">
        <x:v>donnemartin/system-design-primer</x:v>
      </x:c>
      <x:c r="B12" s="11" t="n">
        <x:v>369478</x:v>
      </x:c>
      <x:c r="C12" s="4"/>
      <x:c r="D12" s="4" t="str">
        <x:v>未归入15类</x:v>
      </x:c>
      <x:c r="E12" s="4" t="str">
        <x:v>范围排除</x:v>
      </x:c>
      <x:c r="F12" s="4" t="n">
        <x:v>0</x:v>
      </x:c>
      <x:c r="G12" s="4" t="str">
        <x:v>教程/资源/技能资产</x:v>
      </x:c>
      <x:c r="H12" s="4" t="str">
        <x:v>知识/数据资产</x:v>
      </x:c>
      <x:c r="I12" s="4" t="str">
        <x:v>Python</x:v>
      </x:c>
      <x:c r="J12" s="4" t="str">
        <x:v>Learn how to design large-scale systems. Prep for the system design interview.  Includes Anki flashcards.</x:v>
      </x:c>
      <x:c r="K12" s="4" t="n">
        <x:v>1</x:v>
      </x:c>
      <x:c r="L12" s="4" t="str">
        <x:v>global</x:v>
      </x:c>
      <x:c r="M12" s="4" t="str"/>
      <x:c r="N12" s="4" t="str">
        <x:v>NOASSERTION</x:v>
      </x:c>
      <x:c r="O12" s="12" t="n">
        <x:v>46277.17107027778</x:v>
      </x:c>
      <x:c r="P12" s="4" t="str">
        <x:v>GitHub REST Search API</x:v>
      </x:c>
      <x:c r="Q12" s="4" t="str">
        <x:v>https://github.com/donnemartin/system-design-primer</x:v>
      </x:c>
      <x:c r="R12" s="4" t="str">
        <x:v>stars:&gt;=10000 fork:false archived:false</x:v>
      </x:c>
      <x:c r="S12" s="4" t="str">
        <x:v>https://api.github.com/search/repositories?q=stars%3A%3E%3D10000%20fork%3Afalse%20archived%3Afalse&amp;sort=stars&amp;order=desc&amp;per_page=100</x:v>
      </x:c>
    </x:row>
    <x:row r="13" ht="86" customHeight="1">
      <x:c r="A13" s="4" t="str">
        <x:v>nilbuild/developer-roadmap</x:v>
      </x:c>
      <x:c r="B13" s="11" t="n">
        <x:v>366937</x:v>
      </x:c>
      <x:c r="C13" s="4"/>
      <x:c r="D13" s="4" t="str">
        <x:v>未归入15类</x:v>
      </x:c>
      <x:c r="E13" s="4" t="str">
        <x:v>范围排除</x:v>
      </x:c>
      <x:c r="F13" s="4" t="n">
        <x:v>0</x:v>
      </x:c>
      <x:c r="G13" s="4" t="str">
        <x:v>教程/资源/技能资产</x:v>
      </x:c>
      <x:c r="H13" s="4" t="str">
        <x:v>知识/数据资产</x:v>
      </x:c>
      <x:c r="I13" s="4" t="str">
        <x:v>TypeScript</x:v>
      </x:c>
      <x:c r="J13" s="4" t="str">
        <x:v>Interactive roadmaps, guides and other educational content to help developers grow in their careers.</x:v>
      </x:c>
      <x:c r="K13" s="4" t="n">
        <x:v>1</x:v>
      </x:c>
      <x:c r="L13" s="4" t="str">
        <x:v>global</x:v>
      </x:c>
      <x:c r="M13" s="4" t="str"/>
      <x:c r="N13" s="4" t="str">
        <x:v>NOASSERTION</x:v>
      </x:c>
      <x:c r="O13" s="12" t="n">
        <x:v>46277.17107027778</x:v>
      </x:c>
      <x:c r="P13" s="4" t="str">
        <x:v>GitHub REST Search API</x:v>
      </x:c>
      <x:c r="Q13" s="4" t="str">
        <x:v>https://github.com/nilbuild/developer-roadmap</x:v>
      </x:c>
      <x:c r="R13" s="4" t="str">
        <x:v>stars:&gt;=10000 fork:false archived:false</x:v>
      </x:c>
      <x:c r="S13" s="4" t="str">
        <x:v>https://api.github.com/search/repositories?q=stars%3A%3E%3D10000%20fork%3Afalse%20archived%3Afalse&amp;sort=stars&amp;order=desc&amp;per_page=100</x:v>
      </x:c>
    </x:row>
    <x:row r="14" ht="86" customHeight="1">
      <x:c r="A14" s="4" t="str">
        <x:v>jwasham/coding-interview-university</x:v>
      </x:c>
      <x:c r="B14" s="11" t="n">
        <x:v>360766</x:v>
      </x:c>
      <x:c r="C14" s="4"/>
      <x:c r="D14" s="4" t="str">
        <x:v>未归入15类</x:v>
      </x:c>
      <x:c r="E14" s="4" t="str">
        <x:v>范围排除</x:v>
      </x:c>
      <x:c r="F14" s="4" t="n">
        <x:v>0</x:v>
      </x:c>
      <x:c r="G14" s="4" t="str">
        <x:v>教程/资源/技能资产</x:v>
      </x:c>
      <x:c r="H14" s="4" t="str">
        <x:v>知识/数据资产</x:v>
      </x:c>
      <x:c r="I14" s="4" t="str">
        <x:v>未获取/未识别</x:v>
      </x:c>
      <x:c r="J14" s="4" t="str">
        <x:v>A complete computer science study plan to become a software engineer.</x:v>
      </x:c>
      <x:c r="K14" s="4" t="n">
        <x:v>1</x:v>
      </x:c>
      <x:c r="L14" s="4" t="str">
        <x:v>global</x:v>
      </x:c>
      <x:c r="M14" s="4" t="str">
        <x:v>259</x:v>
      </x:c>
      <x:c r="N14" s="4" t="str">
        <x:v>CC-BY-SA-4.0</x:v>
      </x:c>
      <x:c r="O14" s="12" t="n">
        <x:v>46277.17107027778</x:v>
      </x:c>
      <x:c r="P14" s="4" t="str">
        <x:v>GitHub REST Search API</x:v>
      </x:c>
      <x:c r="Q14" s="4" t="str">
        <x:v>https://github.com/jwasham/coding-interview-university</x:v>
      </x:c>
      <x:c r="R14" s="4" t="str">
        <x:v>stars:&gt;=10000 fork:false archived:false</x:v>
      </x:c>
      <x:c r="S14" s="4" t="str">
        <x:v>https://api.github.com/search/repositories?q=stars%3A%3E%3D10000%20fork%3Afalse%20archived%3Afalse&amp;sort=stars&amp;order=desc&amp;per_page=100</x:v>
      </x:c>
    </x:row>
    <x:row r="15" ht="86" customHeight="1">
      <x:c r="A15" s="4" t="str">
        <x:v>vinta/awesome-python</x:v>
      </x:c>
      <x:c r="B15" s="11" t="n">
        <x:v>320098</x:v>
      </x:c>
      <x:c r="C15" s="4"/>
      <x:c r="D15" s="4" t="str">
        <x:v>未归入15类</x:v>
      </x:c>
      <x:c r="E15" s="4" t="str">
        <x:v>范围排除</x:v>
      </x:c>
      <x:c r="F15" s="4" t="n">
        <x:v>0</x:v>
      </x:c>
      <x:c r="G15" s="4" t="str">
        <x:v>教程/资源/技能资产</x:v>
      </x:c>
      <x:c r="H15" s="4" t="str">
        <x:v>知识/数据资产</x:v>
      </x:c>
      <x:c r="I15" s="4" t="str">
        <x:v>Python</x:v>
      </x:c>
      <x:c r="J15" s="4" t="str">
        <x:v>The definitive list that answers "I want to do X in Python, which tool should I use?"</x:v>
      </x:c>
      <x:c r="K15" s="4" t="n">
        <x:v>1</x:v>
      </x:c>
      <x:c r="L15" s="4" t="str">
        <x:v>global</x:v>
      </x:c>
      <x:c r="M15" s="4" t="str">
        <x:v>403</x:v>
      </x:c>
      <x:c r="N15" s="4" t="str">
        <x:v>NOASSERTION</x:v>
      </x:c>
      <x:c r="O15" s="12" t="n">
        <x:v>46277.17107027778</x:v>
      </x:c>
      <x:c r="P15" s="4" t="str">
        <x:v>GitHub REST Search API</x:v>
      </x:c>
      <x:c r="Q15" s="4" t="str">
        <x:v>https://github.com/vinta/awesome-python</x:v>
      </x:c>
      <x:c r="R15" s="4" t="str">
        <x:v>stars:&gt;=10000 fork:false archived:false</x:v>
      </x:c>
      <x:c r="S15" s="4" t="str">
        <x:v>https://api.github.com/search/repositories?q=stars%3A%3E%3D10000%20fork%3Afalse%20archived%3Afalse&amp;sort=stars&amp;order=desc&amp;per_page=100</x:v>
      </x:c>
    </x:row>
    <x:row r="16" ht="86" customHeight="1">
      <x:c r="A16" s="4" t="str">
        <x:v>awesome-selfhosted/awesome-selfhosted</x:v>
      </x:c>
      <x:c r="B16" s="11" t="n">
        <x:v>318618</x:v>
      </x:c>
      <x:c r="C16" s="4"/>
      <x:c r="D16" s="4" t="str">
        <x:v>未归入15类</x:v>
      </x:c>
      <x:c r="E16" s="4" t="str">
        <x:v>范围排除</x:v>
      </x:c>
      <x:c r="F16" s="4" t="n">
        <x:v>0</x:v>
      </x:c>
      <x:c r="G16" s="4" t="str">
        <x:v>教程/资源/技能资产</x:v>
      </x:c>
      <x:c r="H16" s="4" t="str">
        <x:v>知识/数据资产</x:v>
      </x:c>
      <x:c r="I16" s="4" t="str">
        <x:v>未获取/未识别</x:v>
      </x:c>
      <x:c r="J16" s="4" t="str">
        <x:v>A list of Free Software network services and web applications which can be hosted on your own servers</x:v>
      </x:c>
      <x:c r="K16" s="4" t="n">
        <x:v>1</x:v>
      </x:c>
      <x:c r="L16" s="4" t="str">
        <x:v>global</x:v>
      </x:c>
      <x:c r="M16" s="4" t="str"/>
      <x:c r="N16" s="4" t="str">
        <x:v>NOASSERTION</x:v>
      </x:c>
      <x:c r="O16" s="12" t="n">
        <x:v>46277.17107027778</x:v>
      </x:c>
      <x:c r="P16" s="4" t="str">
        <x:v>GitHub REST Search API</x:v>
      </x:c>
      <x:c r="Q16" s="4" t="str">
        <x:v>https://github.com/awesome-selfhosted/awesome-selfhosted</x:v>
      </x:c>
      <x:c r="R16" s="4" t="str">
        <x:v>stars:&gt;=10000 fork:false archived:false</x:v>
      </x:c>
      <x:c r="S16" s="4" t="str">
        <x:v>https://api.github.com/search/repositories?q=stars%3A%3E%3D10000%20fork%3Afalse%20archived%3Afalse&amp;sort=stars&amp;order=desc&amp;per_page=100</x:v>
      </x:c>
    </x:row>
    <x:row r="17" ht="86" customHeight="1">
      <x:c r="A17" s="4" t="str">
        <x:v>obra/superpowers</x:v>
      </x:c>
      <x:c r="B17" s="11" t="n">
        <x:v>285432</x:v>
      </x:c>
      <x:c r="C17" s="4"/>
      <x:c r="D17" s="4" t="str">
        <x:v>未归入15类</x:v>
      </x:c>
      <x:c r="E17" s="4" t="str">
        <x:v>范围排除</x:v>
      </x:c>
      <x:c r="F17" s="4" t="n">
        <x:v>0</x:v>
      </x:c>
      <x:c r="G17" s="4" t="str">
        <x:v>教程/资源/技能资产</x:v>
      </x:c>
      <x:c r="H17" s="4" t="str">
        <x:v>Agent资源（不等于运行时）</x:v>
      </x:c>
      <x:c r="I17" s="4" t="str">
        <x:v>Shell</x:v>
      </x:c>
      <x:c r="J17" s="4" t="str">
        <x:v>An agentic skills framework &amp; software development methodology that works.</x:v>
      </x:c>
      <x:c r="K17" s="4" t="n">
        <x:v>1</x:v>
      </x:c>
      <x:c r="L17" s="4" t="str">
        <x:v>13、global</x:v>
      </x:c>
      <x:c r="M17" s="4" t="str">
        <x:v>322</x:v>
      </x:c>
      <x:c r="N17" s="4" t="str">
        <x:v>MIT</x:v>
      </x:c>
      <x:c r="O17" s="12" t="n">
        <x:v>46277.17332952546</x:v>
      </x:c>
      <x:c r="P17" s="4" t="str">
        <x:v>GitHub REST Search API</x:v>
      </x:c>
      <x:c r="Q17" s="4" t="str">
        <x:v>https://github.com/obra/superpowers</x:v>
      </x:c>
      <x:c r="R17" s="4" t="str">
        <x:v>agent in:name,description stars:&gt;=5000 fork:false archived:false
stars:&gt;=10000 fork:false archived:false</x:v>
      </x:c>
      <x:c r="S17" s="4" t="str">
        <x:v>https://api.github.com/search/repositories?q=agent%20in%3Aname%2Cdescription%20stars%3A%3E%3D5000%20fork%3Afalse%20archived%3Afalse&amp;sort=stars&amp;order=desc&amp;per_page=5</x:v>
      </x:c>
    </x:row>
    <x:row r="18" ht="86" customHeight="1">
      <x:c r="A18" s="4" t="str">
        <x:v>practical-tutorials/project-based-learning</x:v>
      </x:c>
      <x:c r="B18" s="11" t="n">
        <x:v>283014</x:v>
      </x:c>
      <x:c r="C18" s="4"/>
      <x:c r="D18" s="4" t="str">
        <x:v>未归入15类</x:v>
      </x:c>
      <x:c r="E18" s="4" t="str">
        <x:v>范围排除</x:v>
      </x:c>
      <x:c r="F18" s="4" t="n">
        <x:v>0</x:v>
      </x:c>
      <x:c r="G18" s="4" t="str">
        <x:v>教程/资源/技能资产</x:v>
      </x:c>
      <x:c r="H18" s="4" t="str">
        <x:v>知识/数据资产</x:v>
      </x:c>
      <x:c r="I18" s="4" t="str">
        <x:v>Python</x:v>
      </x:c>
      <x:c r="J18" s="4" t="str">
        <x:v>Curated list of project-based tutorials</x:v>
      </x:c>
      <x:c r="K18" s="4" t="n">
        <x:v>1</x:v>
      </x:c>
      <x:c r="L18" s="4" t="str">
        <x:v>global</x:v>
      </x:c>
      <x:c r="M18" s="4" t="str">
        <x:v>347</x:v>
      </x:c>
      <x:c r="N18" s="4" t="str">
        <x:v>MIT</x:v>
      </x:c>
      <x:c r="O18" s="12" t="n">
        <x:v>46277.17107027778</x:v>
      </x:c>
      <x:c r="P18" s="4" t="str">
        <x:v>GitHub REST Search API</x:v>
      </x:c>
      <x:c r="Q18" s="4" t="str">
        <x:v>https://github.com/practical-tutorials/project-based-learning</x:v>
      </x:c>
      <x:c r="R18" s="4" t="str">
        <x:v>stars:&gt;=10000 fork:false archived:false</x:v>
      </x:c>
      <x:c r="S18" s="4" t="str">
        <x:v>https://api.github.com/search/repositories?q=stars%3A%3E%3D10000%20fork%3Afalse%20archived%3Afalse&amp;sort=stars&amp;order=desc&amp;per_page=100</x:v>
      </x:c>
    </x:row>
    <x:row r="19" ht="86" customHeight="1">
      <x:c r="A19" s="4" t="str">
        <x:v>996icu/996.ICU</x:v>
      </x:c>
      <x:c r="B19" s="11" t="n">
        <x:v>276975</x:v>
      </x:c>
      <x:c r="C19" s="4"/>
      <x:c r="D19" s="4" t="str">
        <x:v>未归入15类</x:v>
      </x:c>
      <x:c r="E19" s="4" t="str">
        <x:v>范围排除</x:v>
      </x:c>
      <x:c r="F19" s="4" t="n">
        <x:v>0</x:v>
      </x:c>
      <x:c r="G19" s="4" t="str">
        <x:v>教程/资源/技能资产</x:v>
      </x:c>
      <x:c r="H19" s="4" t="str">
        <x:v>知识/数据资产</x:v>
      </x:c>
      <x:c r="I19" s="4" t="str">
        <x:v>未获取/未识别</x:v>
      </x:c>
      <x:c r="J19" s="4" t="str">
        <x:v>Repo for counting stars and contributing. Press F to pay respect to glorious developers.</x:v>
      </x:c>
      <x:c r="K19" s="4" t="n">
        <x:v>1</x:v>
      </x:c>
      <x:c r="L19" s="4" t="str">
        <x:v>global</x:v>
      </x:c>
      <x:c r="M19" s="4" t="str"/>
      <x:c r="N19" s="4" t="str">
        <x:v>NOASSERTION</x:v>
      </x:c>
      <x:c r="O19" s="12" t="n">
        <x:v>46277.17107027778</x:v>
      </x:c>
      <x:c r="P19" s="4" t="str">
        <x:v>GitHub REST Search API</x:v>
      </x:c>
      <x:c r="Q19" s="4" t="str">
        <x:v>https://github.com/996icu/996.ICU</x:v>
      </x:c>
      <x:c r="R19" s="4" t="str">
        <x:v>stars:&gt;=10000 fork:false archived:false</x:v>
      </x:c>
      <x:c r="S19" s="4" t="str">
        <x:v>https://api.github.com/search/repositories?q=stars%3A%3E%3D10000%20fork%3Afalse%20archived%3Afalse&amp;sort=stars&amp;order=desc&amp;per_page=100</x:v>
      </x:c>
    </x:row>
    <x:row r="20" ht="86" customHeight="1">
      <x:c r="A20" s="4" t="str">
        <x:v>mattpocock/skills</x:v>
      </x:c>
      <x:c r="B20" s="11" t="n">
        <x:v>259888</x:v>
      </x:c>
      <x:c r="C20" s="4"/>
      <x:c r="D20" s="4" t="str">
        <x:v>未归入15类</x:v>
      </x:c>
      <x:c r="E20" s="4" t="str">
        <x:v>范围排除</x:v>
      </x:c>
      <x:c r="F20" s="4" t="n">
        <x:v>0</x:v>
      </x:c>
      <x:c r="G20" s="4" t="str">
        <x:v>教程/资源/技能资产</x:v>
      </x:c>
      <x:c r="H20" s="4" t="str">
        <x:v>Agent资源（不等于运行时）</x:v>
      </x:c>
      <x:c r="I20" s="4" t="str">
        <x:v>Shell</x:v>
      </x:c>
      <x:c r="J20" s="4" t="str">
        <x:v>Skills for Real Engineers. Straight from my .agents directory.</x:v>
      </x:c>
      <x:c r="K20" s="4" t="n">
        <x:v>1</x:v>
      </x:c>
      <x:c r="L20" s="4" t="str">
        <x:v>13、global</x:v>
      </x:c>
      <x:c r="M20" s="4" t="str">
        <x:v>286</x:v>
      </x:c>
      <x:c r="N20" s="4" t="str">
        <x:v>MIT</x:v>
      </x:c>
      <x:c r="O20" s="12" t="n">
        <x:v>46277.17332952546</x:v>
      </x:c>
      <x:c r="P20" s="4" t="str">
        <x:v>GitHub REST Search API</x:v>
      </x:c>
      <x:c r="Q20" s="4" t="str">
        <x:v>https://github.com/mattpocock/skills</x:v>
      </x:c>
      <x:c r="R20" s="4" t="str">
        <x:v>agent in:name,description stars:&gt;=5000 fork:false archived:false
stars:&gt;=10000 fork:false archived:false</x:v>
      </x:c>
      <x:c r="S20" s="4" t="str">
        <x:v>https://api.github.com/search/repositories?q=agent%20in%3Aname%2Cdescription%20stars%3A%3E%3D5000%20fork%3Afalse%20archived%3Afalse&amp;sort=stars&amp;order=desc&amp;per_page=5</x:v>
      </x:c>
    </x:row>
    <x:row r="21" ht="86" customHeight="1">
      <x:c r="A21" s="4" t="str">
        <x:v>affaan-m/ECC</x:v>
      </x:c>
      <x:c r="B21" s="11" t="n">
        <x:v>256595</x:v>
      </x:c>
      <x:c r="C21" s="4"/>
      <x:c r="D21" s="4" t="str">
        <x:v>未归入15类</x:v>
      </x:c>
      <x:c r="E21" s="4" t="str">
        <x:v>范围排除</x:v>
      </x:c>
      <x:c r="F21" s="4" t="n">
        <x:v>0</x:v>
      </x:c>
      <x:c r="G21" s="4" t="str">
        <x:v>教程/资源/技能资产</x:v>
      </x:c>
      <x:c r="H21" s="4" t="str">
        <x:v>Agent资源（不等于运行时）</x:v>
      </x:c>
      <x:c r="I21" s="4" t="str">
        <x:v>JavaScript</x:v>
      </x:c>
      <x:c r="J21" s="4" t="str">
        <x:v>The agent harness performance optimization system. Skills, instincts, memory, security, and research-first development for Claude Code, Codex, Opencode, Cursor and beyond.</x:v>
      </x:c>
      <x:c r="K21" s="4" t="n">
        <x:v>1</x:v>
      </x:c>
      <x:c r="L21" s="4" t="str">
        <x:v>04、13、global</x:v>
      </x:c>
      <x:c r="M21" s="4" t="str"/>
      <x:c r="N21" s="4" t="str">
        <x:v>MIT</x:v>
      </x:c>
      <x:c r="O21" s="12" t="n">
        <x:v>46277.171094722224</x:v>
      </x:c>
      <x:c r="P21" s="4" t="str">
        <x:v>GitHub REST Search API</x:v>
      </x:c>
      <x:c r="Q21" s="4" t="str">
        <x:v>https://github.com/affaan-m/ECC</x:v>
      </x:c>
      <x:c r="R21" s="4" t="str">
        <x:v>security in:name,description stars:&gt;=5000 fork:false archived:false
agent in:name,description stars:&gt;=5000 fork:false archived:false
stars:&gt;=10000 fork:false archived:false</x:v>
      </x:c>
      <x:c r="S21" s="4" t="str">
        <x:v>https://api.github.com/search/repositories?q=security%20in%3Aname%2Cdescription%20stars%3A%3E%3D5000%20fork%3Afalse%20archived%3Afalse&amp;sort=stars&amp;order=desc&amp;per_page=5</x:v>
      </x:c>
    </x:row>
    <x:row r="22" ht="86" customHeight="1">
      <x:c r="A22" s="4" t="str">
        <x:v>react/react</x:v>
      </x:c>
      <x:c r="B22" s="11" t="n">
        <x:v>250048</x:v>
      </x:c>
      <x:c r="C22" s="4" t="n">
        <x:v>7</x:v>
      </x:c>
      <x:c r="D22" s="4" t="str">
        <x:v>用户界面与交互</x:v>
      </x:c>
      <x:c r="E22" s="4" t="str">
        <x:v>元数据已核验</x:v>
      </x:c>
      <x:c r="F22" s="4" t="n">
        <x:v>1</x:v>
      </x:c>
      <x:c r="G22" s="4" t="str">
        <x:v>软件项目</x:v>
      </x:c>
      <x:c r="H22" s="4" t="str">
        <x:v>UI框架</x:v>
      </x:c>
      <x:c r="I22" s="4" t="str">
        <x:v>JavaScript</x:v>
      </x:c>
      <x:c r="J22" s="4" t="str">
        <x:v>The library for web and native user interfaces.</x:v>
      </x:c>
      <x:c r="K22" s="4" t="n">
        <x:v>1</x:v>
      </x:c>
      <x:c r="L22" s="4" t="str">
        <x:v>global</x:v>
      </x:c>
      <x:c r="M22" s="4" t="str"/>
      <x:c r="N22" s="4" t="str">
        <x:v>MIT</x:v>
      </x:c>
      <x:c r="O22" s="12" t="n">
        <x:v>46277.17107027778</x:v>
      </x:c>
      <x:c r="P22" s="4" t="str">
        <x:v>GitHub REST Search API</x:v>
      </x:c>
      <x:c r="Q22" s="4" t="str">
        <x:v>https://github.com/react/react</x:v>
      </x:c>
      <x:c r="R22" s="4" t="str">
        <x:v>stars:&gt;=10000 fork:false archived:false</x:v>
      </x:c>
      <x:c r="S22" s="4" t="str">
        <x:v>https://api.github.com/search/repositories?q=stars%3A%3E%3D10000%20fork%3Afalse%20archived%3Afalse&amp;sort=stars&amp;order=desc&amp;per_page=100</x:v>
      </x:c>
    </x:row>
    <x:row r="23" ht="86" customHeight="1">
      <x:c r="A23" s="4" t="str">
        <x:v>torvalds/linux</x:v>
      </x:c>
      <x:c r="B23" s="11" t="n">
        <x:v>248311</x:v>
      </x:c>
      <x:c r="C23" s="4" t="n">
        <x:v>2</x:v>
      </x:c>
      <x:c r="D23" s="4" t="str">
        <x:v>系统资源与原生互操作</x:v>
      </x:c>
      <x:c r="E23" s="4" t="str">
        <x:v>元数据已核验</x:v>
      </x:c>
      <x:c r="F23" s="4" t="n">
        <x:v>1</x:v>
      </x:c>
      <x:c r="G23" s="4" t="str">
        <x:v>软件项目</x:v>
      </x:c>
      <x:c r="H23" s="4" t="str">
        <x:v>原生/系统接口</x:v>
      </x:c>
      <x:c r="I23" s="4" t="str">
        <x:v>C</x:v>
      </x:c>
      <x:c r="J23" s="4" t="str">
        <x:v>Linux kernel source tree</x:v>
      </x:c>
      <x:c r="K23" s="4" t="n">
        <x:v>1</x:v>
      </x:c>
      <x:c r="L23" s="4" t="str">
        <x:v>global</x:v>
      </x:c>
      <x:c r="M23" s="4" t="str"/>
      <x:c r="N23" s="4" t="str">
        <x:v>NOASSERTION</x:v>
      </x:c>
      <x:c r="O23" s="12" t="n">
        <x:v>46277.17107027778</x:v>
      </x:c>
      <x:c r="P23" s="4" t="str">
        <x:v>GitHub REST Search API</x:v>
      </x:c>
      <x:c r="Q23" s="4" t="str">
        <x:v>https://github.com/torvalds/linux</x:v>
      </x:c>
      <x:c r="R23" s="4" t="str">
        <x:v>stars:&gt;=10000 fork:false archived:false</x:v>
      </x:c>
      <x:c r="S23" s="4" t="str">
        <x:v>https://api.github.com/search/repositories?q=stars%3A%3E%3D10000%20fork%3Afalse%20archived%3Afalse&amp;sort=stars&amp;order=desc&amp;per_page=100</x:v>
      </x:c>
    </x:row>
    <x:row r="24" ht="86" customHeight="1">
      <x:c r="A24" s="4" t="str">
        <x:v>NousResearch/hermes-agent</x:v>
      </x:c>
      <x:c r="B24" s="11" t="n">
        <x:v>244654</x:v>
      </x:c>
      <x:c r="C24" s="4" t="n">
        <x:v>13</x:v>
      </x:c>
      <x:c r="D24" s="4" t="str">
        <x:v>Agent编排与工具执行</x:v>
      </x:c>
      <x:c r="E24" s="4" t="str">
        <x:v>元数据已核验</x:v>
      </x:c>
      <x:c r="F24" s="4" t="n">
        <x:v>1</x:v>
      </x:c>
      <x:c r="G24" s="4" t="str">
        <x:v>软件项目</x:v>
      </x:c>
      <x:c r="H24" s="4" t="str">
        <x:v>Agent/模型与工具</x:v>
      </x:c>
      <x:c r="I24" s="4" t="str">
        <x:v>Python</x:v>
      </x:c>
      <x:c r="J24" s="4" t="str">
        <x:v>The agent that grows with you</x:v>
      </x:c>
      <x:c r="K24" s="4" t="n">
        <x:v>1</x:v>
      </x:c>
      <x:c r="L24" s="4" t="str">
        <x:v>13、global</x:v>
      </x:c>
      <x:c r="M24" s="4" t="str"/>
      <x:c r="N24" s="4" t="str">
        <x:v>MIT</x:v>
      </x:c>
      <x:c r="O24" s="12" t="n">
        <x:v>46277.17332952546</x:v>
      </x:c>
      <x:c r="P24" s="4" t="str">
        <x:v>GitHub REST Search API</x:v>
      </x:c>
      <x:c r="Q24" s="4" t="str">
        <x:v>https://github.com/NousResearch/hermes-agent</x:v>
      </x:c>
      <x:c r="R24" s="4" t="str">
        <x:v>agent in:name,description stars:&gt;=5000 fork:false archived:false
stars:&gt;=10000 fork:false archived:false</x:v>
      </x:c>
      <x:c r="S24" s="4" t="str">
        <x:v>https://api.github.com/search/repositories?q=agent%20in%3Aname%2Cdescription%20stars%3A%3E%3D5000%20fork%3Afalse%20archived%3Afalse&amp;sort=stars&amp;order=desc&amp;per_page=5</x:v>
      </x:c>
    </x:row>
    <x:row r="25" ht="86" customHeight="1">
      <x:c r="A25" s="4" t="str">
        <x:v>trimstray/the-book-of-secret-knowledge</x:v>
      </x:c>
      <x:c r="B25" s="11" t="n">
        <x:v>243255</x:v>
      </x:c>
      <x:c r="C25" s="4"/>
      <x:c r="D25" s="4" t="str">
        <x:v>未归入15类</x:v>
      </x:c>
      <x:c r="E25" s="4" t="str">
        <x:v>范围排除</x:v>
      </x:c>
      <x:c r="F25" s="4" t="n">
        <x:v>0</x:v>
      </x:c>
      <x:c r="G25" s="4" t="str">
        <x:v>教程/资源/技能资产</x:v>
      </x:c>
      <x:c r="H25" s="4" t="str">
        <x:v>知识/数据资产</x:v>
      </x:c>
      <x:c r="I25" s="4" t="str">
        <x:v>未获取/未识别</x:v>
      </x:c>
      <x:c r="J25" s="4" t="str">
        <x:v>A collection of inspiring lists, manuals, cheatsheets, blogs, hacks, one-liners, cli/web tools and more.</x:v>
      </x:c>
      <x:c r="K25" s="4" t="n">
        <x:v>1</x:v>
      </x:c>
      <x:c r="L25" s="4" t="str">
        <x:v>global</x:v>
      </x:c>
      <x:c r="M25" s="4" t="str"/>
      <x:c r="N25" s="4" t="str">
        <x:v>MIT</x:v>
      </x:c>
      <x:c r="O25" s="12" t="n">
        <x:v>46277.17107027778</x:v>
      </x:c>
      <x:c r="P25" s="4" t="str">
        <x:v>GitHub REST Search API</x:v>
      </x:c>
      <x:c r="Q25" s="4" t="str">
        <x:v>https://github.com/trimstray/the-book-of-secret-knowledge</x:v>
      </x:c>
      <x:c r="R25" s="4" t="str">
        <x:v>stars:&gt;=10000 fork:false archived:false</x:v>
      </x:c>
      <x:c r="S25" s="4" t="str">
        <x:v>https://api.github.com/search/repositories?q=stars%3A%3E%3D10000%20fork%3Afalse%20archived%3Afalse&amp;sort=stars&amp;order=desc&amp;per_page=100</x:v>
      </x:c>
    </x:row>
    <x:row r="26" ht="86" customHeight="1">
      <x:c r="A26" s="4" t="str">
        <x:v>TheAlgorithms/Python</x:v>
      </x:c>
      <x:c r="B26" s="11" t="n">
        <x:v>224493</x:v>
      </x:c>
      <x:c r="C26" s="4"/>
      <x:c r="D26" s="4" t="str">
        <x:v>未归入15类</x:v>
      </x:c>
      <x:c r="E26" s="4" t="str">
        <x:v>范围排除</x:v>
      </x:c>
      <x:c r="F26" s="4" t="n">
        <x:v>0</x:v>
      </x:c>
      <x:c r="G26" s="4" t="str">
        <x:v>教程/资源/技能资产</x:v>
      </x:c>
      <x:c r="H26" s="4" t="str">
        <x:v>知识/数据资产</x:v>
      </x:c>
      <x:c r="I26" s="4" t="str">
        <x:v>Python</x:v>
      </x:c>
      <x:c r="J26" s="4" t="str">
        <x:v>All Algorithms implemented in Python</x:v>
      </x:c>
      <x:c r="K26" s="4" t="n">
        <x:v>1</x:v>
      </x:c>
      <x:c r="L26" s="4" t="str">
        <x:v>global</x:v>
      </x:c>
      <x:c r="M26" s="4" t="str">
        <x:v>517</x:v>
      </x:c>
      <x:c r="N26" s="4" t="str">
        <x:v>MIT</x:v>
      </x:c>
      <x:c r="O26" s="12" t="n">
        <x:v>46277.17107027778</x:v>
      </x:c>
      <x:c r="P26" s="4" t="str">
        <x:v>GitHub REST Search API</x:v>
      </x:c>
      <x:c r="Q26" s="4" t="str">
        <x:v>https://github.com/TheAlgorithms/Python</x:v>
      </x:c>
      <x:c r="R26" s="4" t="str">
        <x:v>stars:&gt;=10000 fork:false archived:false</x:v>
      </x:c>
      <x:c r="S26" s="4" t="str">
        <x:v>https://api.github.com/search/repositories?q=stars%3A%3E%3D10000%20fork%3Afalse%20archived%3Afalse&amp;sort=stars&amp;order=desc&amp;per_page=100</x:v>
      </x:c>
    </x:row>
    <x:row r="27" ht="86" customHeight="1">
      <x:c r="A27" s="4" t="str">
        <x:v>deepseek-ai/deepseek-harness</x:v>
      </x:c>
      <x:c r="B27" s="11" t="n">
        <x:v>220726</x:v>
      </x:c>
      <x:c r="C27" s="4" t="n">
        <x:v>13</x:v>
      </x:c>
      <x:c r="D27" s="4" t="str">
        <x:v>Agent编排与工具执行</x:v>
      </x:c>
      <x:c r="E27" s="4" t="str">
        <x:v>元数据已核验</x:v>
      </x:c>
      <x:c r="F27" s="4" t="n">
        <x:v>1</x:v>
      </x:c>
      <x:c r="G27" s="4" t="str">
        <x:v>软件项目</x:v>
      </x:c>
      <x:c r="H27" s="4" t="str">
        <x:v>Agent/模型与工具</x:v>
      </x:c>
      <x:c r="I27" s="4" t="str">
        <x:v>TypeScript</x:v>
      </x:c>
      <x:c r="J27" s="4" t="str">
        <x:v>DeepSeek Harness: Everything is a Plugin.</x:v>
      </x:c>
      <x:c r="K27" s="4" t="n">
        <x:v>1</x:v>
      </x:c>
      <x:c r="L27" s="4" t="str">
        <x:v>global</x:v>
      </x:c>
      <x:c r="M27" s="4" t="str"/>
      <x:c r="N27" s="4" t="str">
        <x:v>MIT</x:v>
      </x:c>
      <x:c r="O27" s="12" t="n">
        <x:v>46277.17107027778</x:v>
      </x:c>
      <x:c r="P27" s="4" t="str">
        <x:v>GitHub REST Search API</x:v>
      </x:c>
      <x:c r="Q27" s="4" t="str">
        <x:v>https://github.com/deepseek-ai/deepseek-harness</x:v>
      </x:c>
      <x:c r="R27" s="4" t="str">
        <x:v>stars:&gt;=10000 fork:false archived:false</x:v>
      </x:c>
      <x:c r="S27" s="4" t="str">
        <x:v>https://api.github.com/search/repositories?q=stars%3A%3E%3D10000%20fork%3Afalse%20archived%3Afalse&amp;sort=stars&amp;order=desc&amp;per_page=100</x:v>
      </x:c>
    </x:row>
    <x:row r="28" ht="86" customHeight="1">
      <x:c r="A28" s="4" t="str">
        <x:v>vuejs/vue</x:v>
      </x:c>
      <x:c r="B28" s="11" t="n">
        <x:v>212465</x:v>
      </x:c>
      <x:c r="C28" s="4" t="n">
        <x:v>7</x:v>
      </x:c>
      <x:c r="D28" s="4" t="str">
        <x:v>用户界面与交互</x:v>
      </x:c>
      <x:c r="E28" s="4" t="str">
        <x:v>元数据已核验</x:v>
      </x:c>
      <x:c r="F28" s="4" t="n">
        <x:v>1</x:v>
      </x:c>
      <x:c r="G28" s="4" t="str">
        <x:v>软件项目</x:v>
      </x:c>
      <x:c r="H28" s="4" t="str">
        <x:v>UI框架</x:v>
      </x:c>
      <x:c r="I28" s="4" t="str">
        <x:v>TypeScript</x:v>
      </x:c>
      <x:c r="J28" s="4" t="str">
        <x:v>This is the repo for Vue 2. For Vue 3, go to https://github.com/vuejs/core</x:v>
      </x:c>
      <x:c r="K28" s="4" t="n">
        <x:v>1</x:v>
      </x:c>
      <x:c r="L28" s="4" t="str">
        <x:v>03、global</x:v>
      </x:c>
      <x:c r="M28" s="4" t="str"/>
      <x:c r="N28" s="4" t="str">
        <x:v>MIT</x:v>
      </x:c>
      <x:c r="O28" s="12" t="n">
        <x:v>46277.171088310184</x:v>
      </x:c>
      <x:c r="P28" s="4" t="str">
        <x:v>GitHub REST Search API</x:v>
      </x:c>
      <x:c r="Q28" s="4" t="str">
        <x:v>https://github.com/vuejs/vue</x:v>
      </x:c>
      <x:c r="R28" s="4" t="str">
        <x:v>http in:name,description stars:&gt;=5000 fork:false archived:false
stars:&gt;=10000 fork:false archived:false</x:v>
      </x:c>
      <x:c r="S28" s="4" t="str">
        <x:v>https://api.github.com/search/repositories?q=http%20in%3Aname%2Cdescription%20stars%3A%3E%3D5000%20fork%3Afalse%20archived%3Afalse&amp;sort=stars&amp;order=desc&amp;per_page=5</x:v>
      </x:c>
    </x:row>
    <x:row r="29" ht="86" customHeight="1">
      <x:c r="A29" s="4" t="str">
        <x:v>multica-ai/andrej-karpathy-skills</x:v>
      </x:c>
      <x:c r="B29" s="11" t="n">
        <x:v>212409</x:v>
      </x:c>
      <x:c r="C29" s="4"/>
      <x:c r="D29" s="4" t="str">
        <x:v>未归入15类</x:v>
      </x:c>
      <x:c r="E29" s="4" t="str">
        <x:v>范围排除</x:v>
      </x:c>
      <x:c r="F29" s="4" t="n">
        <x:v>0</x:v>
      </x:c>
      <x:c r="G29" s="4" t="str">
        <x:v>教程/资源/技能资产</x:v>
      </x:c>
      <x:c r="H29" s="4" t="str">
        <x:v>Agent资源（不等于运行时）</x:v>
      </x:c>
      <x:c r="I29" s="4" t="str">
        <x:v>未获取/未识别</x:v>
      </x:c>
      <x:c r="J29" s="4" t="str">
        <x:v>A single CLAUDE.md file to improve Claude Code behavior, derived from Andrej Karpathy's observations on LLM coding pitfalls.</x:v>
      </x:c>
      <x:c r="K29" s="4" t="n">
        <x:v>1</x:v>
      </x:c>
      <x:c r="L29" s="4" t="str">
        <x:v>global</x:v>
      </x:c>
      <x:c r="M29" s="4" t="str"/>
      <x:c r="N29" s="4" t="str">
        <x:v>未核验许可</x:v>
      </x:c>
      <x:c r="O29" s="12" t="n">
        <x:v>46277.17107027778</x:v>
      </x:c>
      <x:c r="P29" s="4" t="str">
        <x:v>GitHub REST Search API</x:v>
      </x:c>
      <x:c r="Q29" s="4" t="str">
        <x:v>https://github.com/multica-ai/andrej-karpathy-skills</x:v>
      </x:c>
      <x:c r="R29" s="4" t="str">
        <x:v>stars:&gt;=10000 fork:false archived:false</x:v>
      </x:c>
      <x:c r="S29" s="4" t="str">
        <x:v>https://api.github.com/search/repositories?q=stars%3A%3E%3D10000%20fork%3Afalse%20archived%3Afalse&amp;sort=stars&amp;order=desc&amp;per_page=100</x:v>
      </x:c>
    </x:row>
    <x:row r="30" ht="86" customHeight="1">
      <x:c r="A30" s="4" t="str">
        <x:v>ossu/computer-science</x:v>
      </x:c>
      <x:c r="B30" s="11" t="n">
        <x:v>208935</x:v>
      </x:c>
      <x:c r="C30" s="4"/>
      <x:c r="D30" s="4" t="str">
        <x:v>未归入15类</x:v>
      </x:c>
      <x:c r="E30" s="4" t="str">
        <x:v>范围排除</x:v>
      </x:c>
      <x:c r="F30" s="4" t="n">
        <x:v>0</x:v>
      </x:c>
      <x:c r="G30" s="4" t="str">
        <x:v>教程/资源/技能资产</x:v>
      </x:c>
      <x:c r="H30" s="4" t="str">
        <x:v>知识/数据资产</x:v>
      </x:c>
      <x:c r="I30" s="4" t="str">
        <x:v>HTML</x:v>
      </x:c>
      <x:c r="J30" s="4" t="str">
        <x:v>🎓 Path to a free self-taught education in Computer Science!</x:v>
      </x:c>
      <x:c r="K30" s="4" t="n">
        <x:v>1</x:v>
      </x:c>
      <x:c r="L30" s="4" t="str">
        <x:v>global</x:v>
      </x:c>
      <x:c r="M30" s="4" t="str"/>
      <x:c r="N30" s="4" t="str">
        <x:v>MIT</x:v>
      </x:c>
      <x:c r="O30" s="12" t="n">
        <x:v>46277.17107027778</x:v>
      </x:c>
      <x:c r="P30" s="4" t="str">
        <x:v>GitHub REST Search API</x:v>
      </x:c>
      <x:c r="Q30" s="4" t="str">
        <x:v>https://github.com/ossu/computer-science</x:v>
      </x:c>
      <x:c r="R30" s="4" t="str">
        <x:v>stars:&gt;=10000 fork:false archived:false</x:v>
      </x:c>
      <x:c r="S30" s="4" t="str">
        <x:v>https://api.github.com/search/repositories?q=stars%3A%3E%3D10000%20fork%3Afalse%20archived%3Afalse&amp;sort=stars&amp;order=desc&amp;per_page=100</x:v>
      </x:c>
    </x:row>
    <x:row r="31" ht="86" customHeight="1">
      <x:c r="A31" s="4" t="str">
        <x:v>anomalyco/opencode</x:v>
      </x:c>
      <x:c r="B31" s="11" t="n">
        <x:v>206791</x:v>
      </x:c>
      <x:c r="C31" s="4" t="n">
        <x:v>14</x:v>
      </x:c>
      <x:c r="D31" s="4" t="str">
        <x:v>软件构建、开发与测试</x:v>
      </x:c>
      <x:c r="E31" s="4" t="str">
        <x:v>元数据已核验</x:v>
      </x:c>
      <x:c r="F31" s="4" t="n">
        <x:v>1</x:v>
      </x:c>
      <x:c r="G31" s="4" t="str">
        <x:v>软件项目</x:v>
      </x:c>
      <x:c r="H31" s="4" t="str">
        <x:v>软件工程；编程Agent需额外挂13标签</x:v>
      </x:c>
      <x:c r="I31" s="4" t="str">
        <x:v>TypeScript</x:v>
      </x:c>
      <x:c r="J31" s="4" t="str">
        <x:v>The open source coding agent.</x:v>
      </x:c>
      <x:c r="K31" s="4" t="n">
        <x:v>1</x:v>
      </x:c>
      <x:c r="L31" s="4" t="str">
        <x:v>13、global</x:v>
      </x:c>
      <x:c r="M31" s="4" t="str"/>
      <x:c r="N31" s="4" t="str">
        <x:v>MIT</x:v>
      </x:c>
      <x:c r="O31" s="12" t="n">
        <x:v>46277.17332952546</x:v>
      </x:c>
      <x:c r="P31" s="4" t="str">
        <x:v>GitHub REST Search API</x:v>
      </x:c>
      <x:c r="Q31" s="4" t="str">
        <x:v>https://github.com/anomalyco/opencode</x:v>
      </x:c>
      <x:c r="R31" s="4" t="str">
        <x:v>agent in:name,description stars:&gt;=5000 fork:false archived:false
stars:&gt;=10000 fork:false archived:false</x:v>
      </x:c>
      <x:c r="S31" s="4" t="str">
        <x:v>https://api.github.com/search/repositories?q=agent%20in%3Aname%2Cdescription%20stars%3A%3E%3D5000%20fork%3Afalse%20archived%3Afalse&amp;sort=stars&amp;order=desc&amp;per_page=5</x:v>
      </x:c>
    </x:row>
    <x:row r="32" ht="86" customHeight="1">
      <x:c r="A32" s="4" t="str">
        <x:v>n8n-io/n8n</x:v>
      </x:c>
      <x:c r="B32" s="11" t="n">
        <x:v>204048</x:v>
      </x:c>
      <x:c r="C32" s="4" t="n">
        <x:v>6</x:v>
      </x:c>
      <x:c r="D32" s="4" t="str">
        <x:v>后端服务与业务流程</x:v>
      </x:c>
      <x:c r="E32" s="4" t="str">
        <x:v>元数据已核验</x:v>
      </x:c>
      <x:c r="F32" s="4" t="n">
        <x:v>1</x:v>
      </x:c>
      <x:c r="G32" s="4" t="str">
        <x:v>软件项目</x:v>
      </x:c>
      <x:c r="H32" s="4" t="str">
        <x:v>业务应用/确定性工作流</x:v>
      </x:c>
      <x:c r="I32" s="4" t="str">
        <x:v>TypeScript</x:v>
      </x:c>
      <x:c r="J32" s="4" t="str">
        <x:v>Fair-code workflow automation platform with native AI capabilities. Combine visual building with custom code, self-host or cloud, 400+ integrations.</x:v>
      </x:c>
      <x:c r="K32" s="4" t="n">
        <x:v>1</x:v>
      </x:c>
      <x:c r="L32" s="4" t="str">
        <x:v>12、global</x:v>
      </x:c>
      <x:c r="M32" s="4" t="str">
        <x:v>316</x:v>
      </x:c>
      <x:c r="N32" s="4" t="str">
        <x:v>NOASSERTION</x:v>
      </x:c>
      <x:c r="O32" s="12" t="n">
        <x:v>46277.17331760417</x:v>
      </x:c>
      <x:c r="P32" s="4" t="str">
        <x:v>GitHub REST Search API</x:v>
      </x:c>
      <x:c r="Q32" s="4" t="str">
        <x:v>https://github.com/n8n-io/n8n</x:v>
      </x:c>
      <x:c r="R32" s="4" t="str">
        <x:v>automation in:name,description stars:&gt;=5000 fork:false archived:false
stars:&gt;=10000 fork:false archived:false</x:v>
      </x:c>
      <x:c r="S32" s="4" t="str">
        <x:v>https://api.github.com/search/repositories?q=automation%20in%3Aname%2Cdescription%20stars%3A%3E%3D5000%20fork%3Afalse%20archived%3Afalse&amp;sort=stars&amp;order=desc&amp;per_page=5</x:v>
      </x:c>
    </x:row>
    <x:row r="33" ht="86" customHeight="1">
      <x:c r="A33" s="4" t="str">
        <x:v>tensorflow/tensorflow</x:v>
      </x:c>
      <x:c r="B33" s="11" t="n">
        <x:v>199715</x:v>
      </x:c>
      <x:c r="C33" s="4" t="n">
        <x:v>11</x:v>
      </x:c>
      <x:c r="D33" s="4" t="str">
        <x:v>AI模型与机器学习</x:v>
      </x:c>
      <x:c r="E33" s="4" t="str">
        <x:v>元数据已核验</x:v>
      </x:c>
      <x:c r="F33" s="4" t="n">
        <x:v>1</x:v>
      </x:c>
      <x:c r="G33" s="4" t="str">
        <x:v>软件项目</x:v>
      </x:c>
      <x:c r="H33" s="4" t="str">
        <x:v>AI模型/推理</x:v>
      </x:c>
      <x:c r="I33" s="4" t="str">
        <x:v>C++</x:v>
      </x:c>
      <x:c r="J33" s="4" t="str">
        <x:v>An Open Source Machine Learning Framework for Everyone</x:v>
      </x:c>
      <x:c r="K33" s="4" t="n">
        <x:v>1</x:v>
      </x:c>
      <x:c r="L33" s="4" t="str">
        <x:v>11、global</x:v>
      </x:c>
      <x:c r="M33" s="4" t="str"/>
      <x:c r="N33" s="4" t="str">
        <x:v>Apache-2.0</x:v>
      </x:c>
      <x:c r="O33" s="12" t="n">
        <x:v>46277.17332342592</x:v>
      </x:c>
      <x:c r="P33" s="4" t="str">
        <x:v>GitHub REST Search API</x:v>
      </x:c>
      <x:c r="Q33" s="4" t="str">
        <x:v>https://github.com/tensorflow/tensorflow</x:v>
      </x:c>
      <x:c r="R33" s="4" t="str">
        <x:v>machine learning in:name,description stars:&gt;=5000 fork:false archived:false
stars:&gt;=10000 fork:false archived:false</x:v>
      </x:c>
      <x:c r="S33" s="4" t="str">
        <x:v>https://api.github.com/search/repositories?q=machine%20learning%20in%3Aname%2Cdescription%20stars%3A%3E%3D5000%20fork%3Afalse%20archived%3Afalse&amp;sort=stars&amp;order=desc&amp;per_page=5</x:v>
      </x:c>
    </x:row>
    <x:row r="34" ht="86" customHeight="1">
      <x:c r="A34" s="4" t="str">
        <x:v>DigitalPlatDev/FreeDomain</x:v>
      </x:c>
      <x:c r="B34" s="11" t="n">
        <x:v>198842</x:v>
      </x:c>
      <x:c r="C34" s="4"/>
      <x:c r="D34" s="4" t="str">
        <x:v>未归入15类</x:v>
      </x:c>
      <x:c r="E34" s="4" t="str">
        <x:v>范围排除</x:v>
      </x:c>
      <x:c r="F34" s="4" t="n">
        <x:v>0</x:v>
      </x:c>
      <x:c r="G34" s="4" t="str">
        <x:v>教程/资源/技能资产</x:v>
      </x:c>
      <x:c r="H34" s="4" t="str">
        <x:v>知识/数据资产</x:v>
      </x:c>
      <x:c r="I34" s="4" t="str">
        <x:v>Markdown</x:v>
      </x:c>
      <x:c r="J34" s="4" t="str">
        <x:v>Free domain registration and practical DNS learning resources for everyone.</x:v>
      </x:c>
      <x:c r="K34" s="4" t="n">
        <x:v>1</x:v>
      </x:c>
      <x:c r="L34" s="4" t="str">
        <x:v>global</x:v>
      </x:c>
      <x:c r="M34" s="4" t="str">
        <x:v>36</x:v>
      </x:c>
      <x:c r="N34" s="4" t="str">
        <x:v>AGPL-3.0</x:v>
      </x:c>
      <x:c r="O34" s="12" t="n">
        <x:v>46277.17107027778</x:v>
      </x:c>
      <x:c r="P34" s="4" t="str">
        <x:v>GitHub REST Search API</x:v>
      </x:c>
      <x:c r="Q34" s="4" t="str">
        <x:v>https://github.com/DigitalPlatDev/FreeDomain</x:v>
      </x:c>
      <x:c r="R34" s="4" t="str">
        <x:v>stars:&gt;=10000 fork:false archived:false</x:v>
      </x:c>
      <x:c r="S34" s="4" t="str">
        <x:v>https://api.github.com/search/repositories?q=stars%3A%3E%3D10000%20fork%3Afalse%20archived%3Afalse&amp;sort=stars&amp;order=desc&amp;per_page=100</x:v>
      </x:c>
    </x:row>
    <x:row r="35" ht="86" customHeight="1">
      <x:c r="A35" s="4" t="str">
        <x:v>trekhleb/javascript-algorithms</x:v>
      </x:c>
      <x:c r="B35" s="11" t="n">
        <x:v>196681</x:v>
      </x:c>
      <x:c r="C35" s="4"/>
      <x:c r="D35" s="4" t="str">
        <x:v>未归入15类</x:v>
      </x:c>
      <x:c r="E35" s="4" t="str">
        <x:v>范围排除</x:v>
      </x:c>
      <x:c r="F35" s="4" t="n">
        <x:v>0</x:v>
      </x:c>
      <x:c r="G35" s="4" t="str">
        <x:v>教程/资源/技能资产</x:v>
      </x:c>
      <x:c r="H35" s="4" t="str">
        <x:v>知识/数据资产</x:v>
      </x:c>
      <x:c r="I35" s="4" t="str">
        <x:v>JavaScript</x:v>
      </x:c>
      <x:c r="J35" s="4" t="str">
        <x:v>📝 Algorithms and data structures implemented in JavaScript with explanations and links to further readings</x:v>
      </x:c>
      <x:c r="K35" s="4" t="n">
        <x:v>1</x:v>
      </x:c>
      <x:c r="L35" s="4" t="str">
        <x:v>global</x:v>
      </x:c>
      <x:c r="M35" s="4" t="str">
        <x:v>548</x:v>
      </x:c>
      <x:c r="N35" s="4" t="str">
        <x:v>MIT</x:v>
      </x:c>
      <x:c r="O35" s="12" t="n">
        <x:v>46277.17107027778</x:v>
      </x:c>
      <x:c r="P35" s="4" t="str">
        <x:v>GitHub REST Search API</x:v>
      </x:c>
      <x:c r="Q35" s="4" t="str">
        <x:v>https://github.com/trekhleb/javascript-algorithms</x:v>
      </x:c>
      <x:c r="R35" s="4" t="str">
        <x:v>stars:&gt;=10000 fork:false archived:false</x:v>
      </x:c>
      <x:c r="S35" s="4" t="str">
        <x:v>https://api.github.com/search/repositories?q=stars%3A%3E%3D10000%20fork%3Afalse%20archived%3Afalse&amp;sort=stars&amp;order=desc&amp;per_page=100</x:v>
      </x:c>
    </x:row>
    <x:row r="36" ht="86" customHeight="1">
      <x:c r="A36" s="4" t="str">
        <x:v>ultraworkers/claw-code</x:v>
      </x:c>
      <x:c r="B36" s="11" t="n">
        <x:v>195210</x:v>
      </x:c>
      <x:c r="C36" s="4" t="n">
        <x:v>13</x:v>
      </x:c>
      <x:c r="D36" s="4" t="str">
        <x:v>Agent编排与工具执行</x:v>
      </x:c>
      <x:c r="E36" s="4" t="str">
        <x:v>规则候选待复核</x:v>
      </x:c>
      <x:c r="F36" s="4" t="n">
        <x:v>1</x:v>
      </x:c>
      <x:c r="G36" s="4" t="str">
        <x:v>软件项目</x:v>
      </x:c>
      <x:c r="H36" s="4" t="str">
        <x:v>跨类边界待复核</x:v>
      </x:c>
      <x:c r="I36" s="4" t="str">
        <x:v>Rust</x:v>
      </x:c>
      <x:c r="J36" s="4" t="str">
        <x:v>An agent-managed museum exhibit, built in Rust with Gajae-Code / LazyCodex — developed and maintained with no human intervention.</x:v>
      </x:c>
      <x:c r="K36" s="4" t="n">
        <x:v>1</x:v>
      </x:c>
      <x:c r="L36" s="4" t="str">
        <x:v>global</x:v>
      </x:c>
      <x:c r="M36" s="4" t="str"/>
      <x:c r="N36" s="4" t="str">
        <x:v>MIT</x:v>
      </x:c>
      <x:c r="O36" s="12" t="n">
        <x:v>46277.17107027778</x:v>
      </x:c>
      <x:c r="P36" s="4" t="str">
        <x:v>GitHub REST Search API</x:v>
      </x:c>
      <x:c r="Q36" s="4" t="str">
        <x:v>https://github.com/ultraworkers/claw-code</x:v>
      </x:c>
      <x:c r="R36" s="4" t="str">
        <x:v>stars:&gt;=10000 fork:false archived:false</x:v>
      </x:c>
      <x:c r="S36" s="4" t="str">
        <x:v>https://api.github.com/search/repositories?q=stars%3A%3E%3D10000%20fork%3Afalse%20archived%3Afalse&amp;sort=stars&amp;order=desc&amp;per_page=100</x:v>
      </x:c>
    </x:row>
    <x:row r="37" ht="86" customHeight="1">
      <x:c r="A37" s="4" t="str">
        <x:v>microsoft/vscode</x:v>
      </x:c>
      <x:c r="B37" s="11" t="n">
        <x:v>192026</x:v>
      </x:c>
      <x:c r="C37" s="4" t="n">
        <x:v>14</x:v>
      </x:c>
      <x:c r="D37" s="4" t="str">
        <x:v>软件构建、开发与测试</x:v>
      </x:c>
      <x:c r="E37" s="4" t="str">
        <x:v>元数据已核验</x:v>
      </x:c>
      <x:c r="F37" s="4" t="n">
        <x:v>1</x:v>
      </x:c>
      <x:c r="G37" s="4" t="str">
        <x:v>软件项目</x:v>
      </x:c>
      <x:c r="H37" s="4" t="str">
        <x:v>软件工程；编程Agent需额外挂13标签</x:v>
      </x:c>
      <x:c r="I37" s="4" t="str">
        <x:v>TypeScript</x:v>
      </x:c>
      <x:c r="J37" s="4" t="str">
        <x:v>Visual Studio Code</x:v>
      </x:c>
      <x:c r="K37" s="4" t="n">
        <x:v>1</x:v>
      </x:c>
      <x:c r="L37" s="4" t="str">
        <x:v>global</x:v>
      </x:c>
      <x:c r="M37" s="4" t="str"/>
      <x:c r="N37" s="4" t="str">
        <x:v>MIT</x:v>
      </x:c>
      <x:c r="O37" s="12" t="n">
        <x:v>46277.17107027778</x:v>
      </x:c>
      <x:c r="P37" s="4" t="str">
        <x:v>GitHub REST Search API</x:v>
      </x:c>
      <x:c r="Q37" s="4" t="str">
        <x:v>https://github.com/microsoft/vscode</x:v>
      </x:c>
      <x:c r="R37" s="4" t="str">
        <x:v>stars:&gt;=10000 fork:false archived:false</x:v>
      </x:c>
      <x:c r="S37" s="4" t="str">
        <x:v>https://api.github.com/search/repositories?q=stars%3A%3E%3D10000%20fork%3Afalse%20archived%3Afalse&amp;sort=stars&amp;order=desc&amp;per_page=100</x:v>
      </x:c>
    </x:row>
    <x:row r="38" ht="86" customHeight="1">
      <x:c r="A38" s="4" t="str">
        <x:v>yt-dlp/yt-dlp</x:v>
      </x:c>
      <x:c r="B38" s="11" t="n">
        <x:v>190520</x:v>
      </x:c>
      <x:c r="C38" s="4" t="n">
        <x:v>9</x:v>
      </x:c>
      <x:c r="D38" s="4" t="str">
        <x:v>图形、多媒体与实时应用</x:v>
      </x:c>
      <x:c r="E38" s="4" t="str">
        <x:v>元数据已核验</x:v>
      </x:c>
      <x:c r="F38" s="4" t="n">
        <x:v>1</x:v>
      </x:c>
      <x:c r="G38" s="4" t="str">
        <x:v>软件项目</x:v>
      </x:c>
      <x:c r="H38" s="4" t="str">
        <x:v>媒体/图形</x:v>
      </x:c>
      <x:c r="I38" s="4" t="str">
        <x:v>Python</x:v>
      </x:c>
      <x:c r="J38" s="4" t="str">
        <x:v>A feature-rich command-line audio/video downloader</x:v>
      </x:c>
      <x:c r="K38" s="4" t="n">
        <x:v>1</x:v>
      </x:c>
      <x:c r="L38" s="4" t="str">
        <x:v>global</x:v>
      </x:c>
      <x:c r="M38" s="4" t="str">
        <x:v>586</x:v>
      </x:c>
      <x:c r="N38" s="4" t="str">
        <x:v>Unlicense</x:v>
      </x:c>
      <x:c r="O38" s="12" t="n">
        <x:v>46277.17107027778</x:v>
      </x:c>
      <x:c r="P38" s="4" t="str">
        <x:v>GitHub REST Search API</x:v>
      </x:c>
      <x:c r="Q38" s="4" t="str">
        <x:v>https://github.com/yt-dlp/yt-dlp</x:v>
      </x:c>
      <x:c r="R38" s="4" t="str">
        <x:v>stars:&gt;=10000 fork:false archived:false</x:v>
      </x:c>
      <x:c r="S38" s="4" t="str">
        <x:v>https://api.github.com/search/repositories?q=stars%3A%3E%3D10000%20fork%3Afalse%20archived%3Afalse&amp;sort=stars&amp;order=desc&amp;per_page=100</x:v>
      </x:c>
    </x:row>
    <x:row r="39" ht="86" customHeight="1">
      <x:c r="A39" s="4" t="str">
        <x:v>massgravel/Microsoft-Activation-Scripts</x:v>
      </x:c>
      <x:c r="B39" s="11" t="n">
        <x:v>190244</x:v>
      </x:c>
      <x:c r="C39" s="4"/>
      <x:c r="D39" s="4" t="str">
        <x:v>未归入15类</x:v>
      </x:c>
      <x:c r="E39" s="4" t="str">
        <x:v>信息不足</x:v>
      </x:c>
      <x:c r="F39" s="4" t="n">
        <x:v>1</x:v>
      </x:c>
      <x:c r="G39" s="4" t="str">
        <x:v>待确认项目</x:v>
      </x:c>
      <x:c r="H39" s="4" t="str"/>
      <x:c r="I39" s="4" t="str">
        <x:v>Batchfile</x:v>
      </x:c>
      <x:c r="J39" s="4" t="str">
        <x:v>Open-source Windows and Office activator featuring HWID, Ohook, TSforge, and Online KMS activation methods, along with advanced troubleshooting.</x:v>
      </x:c>
      <x:c r="K39" s="4" t="n">
        <x:v>1</x:v>
      </x:c>
      <x:c r="L39" s="4" t="str">
        <x:v>global</x:v>
      </x:c>
      <x:c r="M39" s="4" t="str"/>
      <x:c r="N39" s="4" t="str">
        <x:v>GPL-3.0</x:v>
      </x:c>
      <x:c r="O39" s="12" t="n">
        <x:v>46277.17107027778</x:v>
      </x:c>
      <x:c r="P39" s="4" t="str">
        <x:v>GitHub REST Search API</x:v>
      </x:c>
      <x:c r="Q39" s="4" t="str">
        <x:v>https://github.com/massgravel/Microsoft-Activation-Scripts</x:v>
      </x:c>
      <x:c r="R39" s="4" t="str">
        <x:v>stars:&gt;=10000 fork:false archived:false</x:v>
      </x:c>
      <x:c r="S39" s="4" t="str">
        <x:v>https://api.github.com/search/repositories?q=stars%3A%3E%3D10000%20fork%3Afalse%20archived%3Afalse&amp;sort=stars&amp;order=desc&amp;per_page=100</x:v>
      </x:c>
    </x:row>
    <x:row r="40" ht="86" customHeight="1">
      <x:c r="A40" s="4" t="str">
        <x:v>ohmyzsh/ohmyzsh</x:v>
      </x:c>
      <x:c r="B40" s="11" t="n">
        <x:v>189677</x:v>
      </x:c>
      <x:c r="C40" s="4" t="n">
        <x:v>2</x:v>
      </x:c>
      <x:c r="D40" s="4" t="str">
        <x:v>系统资源与原生互操作</x:v>
      </x:c>
      <x:c r="E40" s="4" t="str">
        <x:v>元数据已核验</x:v>
      </x:c>
      <x:c r="F40" s="4" t="n">
        <x:v>1</x:v>
      </x:c>
      <x:c r="G40" s="4" t="str">
        <x:v>软件项目</x:v>
      </x:c>
      <x:c r="H40" s="4" t="str">
        <x:v>终端/系统交互</x:v>
      </x:c>
      <x:c r="I40" s="4" t="str">
        <x:v>Shell</x:v>
      </x:c>
      <x:c r="J40" s="4" t="str">
        <x:v>🙃   A delightful community-driven (with 2,500+ contributors) framework for managing your zsh configuration. Includes 300+ optional plugins (rails, git, macOS, hub, docker, homebrew, node, php, python…</x:v>
      </x:c>
      <x:c r="K40" s="4" t="n">
        <x:v>1</x:v>
      </x:c>
      <x:c r="L40" s="4" t="str">
        <x:v>global</x:v>
      </x:c>
      <x:c r="M40" s="4" t="str"/>
      <x:c r="N40" s="4" t="str">
        <x:v>MIT</x:v>
      </x:c>
      <x:c r="O40" s="12" t="n">
        <x:v>46277.17107027778</x:v>
      </x:c>
      <x:c r="P40" s="4" t="str">
        <x:v>GitHub REST Search API</x:v>
      </x:c>
      <x:c r="Q40" s="4" t="str">
        <x:v>https://github.com/ohmyzsh/ohmyzsh</x:v>
      </x:c>
      <x:c r="R40" s="4" t="str">
        <x:v>stars:&gt;=10000 fork:false archived:false</x:v>
      </x:c>
      <x:c r="S40" s="4" t="str">
        <x:v>https://api.github.com/search/repositories?q=stars%3A%3E%3D10000%20fork%3Afalse%20archived%3Afalse&amp;sort=stars&amp;order=desc&amp;per_page=100</x:v>
      </x:c>
    </x:row>
    <x:row r="41" ht="86" customHeight="1">
      <x:c r="A41" s="4" t="str">
        <x:v>Significant-Gravitas/AutoGPT</x:v>
      </x:c>
      <x:c r="B41" s="11" t="n">
        <x:v>187271</x:v>
      </x:c>
      <x:c r="C41" s="4" t="n">
        <x:v>13</x:v>
      </x:c>
      <x:c r="D41" s="4" t="str">
        <x:v>Agent编排与工具执行</x:v>
      </x:c>
      <x:c r="E41" s="4" t="str">
        <x:v>元数据已核验</x:v>
      </x:c>
      <x:c r="F41" s="4" t="n">
        <x:v>1</x:v>
      </x:c>
      <x:c r="G41" s="4" t="str">
        <x:v>软件项目</x:v>
      </x:c>
      <x:c r="H41" s="4" t="str">
        <x:v>Agent/模型与工具</x:v>
      </x:c>
      <x:c r="I41" s="4" t="str">
        <x:v>Python</x:v>
      </x:c>
      <x:c r="J41" s="4" t="str">
        <x:v>AutoGPT is the vision of accessible AI for everyone, to use and to build on. Our mission is to provide the tools, so that you can focus on what matters.</x:v>
      </x:c>
      <x:c r="K41" s="4" t="n">
        <x:v>1</x:v>
      </x:c>
      <x:c r="L41" s="4" t="str">
        <x:v>global</x:v>
      </x:c>
      <x:c r="M41" s="4" t="str"/>
      <x:c r="N41" s="4" t="str">
        <x:v>NOASSERTION</x:v>
      </x:c>
      <x:c r="O41" s="12" t="n">
        <x:v>46277.17107027778</x:v>
      </x:c>
      <x:c r="P41" s="4" t="str">
        <x:v>GitHub REST Search API</x:v>
      </x:c>
      <x:c r="Q41" s="4" t="str">
        <x:v>https://github.com/Significant-Gravitas/AutoGPT</x:v>
      </x:c>
      <x:c r="R41" s="4" t="str">
        <x:v>stars:&gt;=10000 fork:false archived:false</x:v>
      </x:c>
      <x:c r="S41" s="4" t="str">
        <x:v>https://api.github.com/search/repositories?q=stars%3A%3E%3D10000%20fork%3Afalse%20archived%3Afalse&amp;sort=stars&amp;order=desc&amp;per_page=100</x:v>
      </x:c>
    </x:row>
    <x:row r="42" ht="86" customHeight="1">
      <x:c r="A42" s="4" t="str">
        <x:v>jackfrued/Python-100-Days</x:v>
      </x:c>
      <x:c r="B42" s="11" t="n">
        <x:v>186322</x:v>
      </x:c>
      <x:c r="C42" s="4"/>
      <x:c r="D42" s="4" t="str">
        <x:v>未归入15类</x:v>
      </x:c>
      <x:c r="E42" s="4" t="str">
        <x:v>范围排除</x:v>
      </x:c>
      <x:c r="F42" s="4" t="n">
        <x:v>0</x:v>
      </x:c>
      <x:c r="G42" s="4" t="str">
        <x:v>教程/资源/技能资产</x:v>
      </x:c>
      <x:c r="H42" s="4" t="str">
        <x:v>知识/数据资产</x:v>
      </x:c>
      <x:c r="I42" s="4" t="str">
        <x:v>Jupyter Notebook</x:v>
      </x:c>
      <x:c r="J42" s="4" t="str">
        <x:v>Python - 100天从新手到大师</x:v>
      </x:c>
      <x:c r="K42" s="4" t="n">
        <x:v>1</x:v>
      </x:c>
      <x:c r="L42" s="4" t="str">
        <x:v>global</x:v>
      </x:c>
      <x:c r="M42" s="4" t="str"/>
      <x:c r="N42" s="4" t="str">
        <x:v>未核验许可</x:v>
      </x:c>
      <x:c r="O42" s="12" t="n">
        <x:v>46277.17107027778</x:v>
      </x:c>
      <x:c r="P42" s="4" t="str">
        <x:v>GitHub REST Search API</x:v>
      </x:c>
      <x:c r="Q42" s="4" t="str">
        <x:v>https://github.com/jackfrued/Python-100-Days</x:v>
      </x:c>
      <x:c r="R42" s="4" t="str">
        <x:v>stars:&gt;=10000 fork:false archived:false</x:v>
      </x:c>
      <x:c r="S42" s="4" t="str">
        <x:v>https://api.github.com/search/repositories?q=stars%3A%3E%3D10000%20fork%3Afalse%20archived%3Afalse&amp;sort=stars&amp;order=desc&amp;per_page=100</x:v>
      </x:c>
    </x:row>
    <x:row r="43" ht="86" customHeight="1">
      <x:c r="A43" s="4" t="str">
        <x:v>CyC2018/CS-Notes</x:v>
      </x:c>
      <x:c r="B43" s="11" t="n">
        <x:v>186008</x:v>
      </x:c>
      <x:c r="C43" s="4"/>
      <x:c r="D43" s="4" t="str">
        <x:v>未归入15类</x:v>
      </x:c>
      <x:c r="E43" s="4" t="str">
        <x:v>范围排除</x:v>
      </x:c>
      <x:c r="F43" s="4" t="n">
        <x:v>0</x:v>
      </x:c>
      <x:c r="G43" s="4" t="str">
        <x:v>教程/资源/技能资产</x:v>
      </x:c>
      <x:c r="H43" s="4" t="str">
        <x:v>知识/数据资产</x:v>
      </x:c>
      <x:c r="I43" s="4" t="str">
        <x:v>未获取/未识别</x:v>
      </x:c>
      <x:c r="J43" s="4" t="str">
        <x:v>:books: 技术面试必备基础知识、Leetcode、计算机操作系统、计算机网络、系统设计</x:v>
      </x:c>
      <x:c r="K43" s="4" t="n">
        <x:v>1</x:v>
      </x:c>
      <x:c r="L43" s="4" t="str">
        <x:v>global</x:v>
      </x:c>
      <x:c r="M43" s="4" t="str"/>
      <x:c r="N43" s="4" t="str">
        <x:v>未核验许可</x:v>
      </x:c>
      <x:c r="O43" s="12" t="n">
        <x:v>46277.17107027778</x:v>
      </x:c>
      <x:c r="P43" s="4" t="str">
        <x:v>GitHub REST Search API</x:v>
      </x:c>
      <x:c r="Q43" s="4" t="str">
        <x:v>https://github.com/CyC2018/CS-Notes</x:v>
      </x:c>
      <x:c r="R43" s="4" t="str">
        <x:v>stars:&gt;=10000 fork:false archived:false</x:v>
      </x:c>
      <x:c r="S43" s="4" t="str">
        <x:v>https://api.github.com/search/repositories?q=stars%3A%3E%3D10000%20fork%3Afalse%20archived%3Afalse&amp;sort=stars&amp;order=desc&amp;per_page=100</x:v>
      </x:c>
    </x:row>
    <x:row r="44" ht="86" customHeight="1">
      <x:c r="A44" s="4" t="str">
        <x:v>getify/You-Dont-Know-JS</x:v>
      </x:c>
      <x:c r="B44" s="11" t="n">
        <x:v>184860</x:v>
      </x:c>
      <x:c r="C44" s="4"/>
      <x:c r="D44" s="4" t="str">
        <x:v>未归入15类</x:v>
      </x:c>
      <x:c r="E44" s="4" t="str">
        <x:v>范围排除</x:v>
      </x:c>
      <x:c r="F44" s="4" t="n">
        <x:v>0</x:v>
      </x:c>
      <x:c r="G44" s="4" t="str">
        <x:v>教程/资源/技能资产</x:v>
      </x:c>
      <x:c r="H44" s="4" t="str">
        <x:v>知识/数据资产</x:v>
      </x:c>
      <x:c r="I44" s="4" t="str">
        <x:v>未获取/未识别</x:v>
      </x:c>
      <x:c r="J44" s="4" t="str">
        <x:v>A book series (2 published editions) on the JS language.</x:v>
      </x:c>
      <x:c r="K44" s="4" t="n">
        <x:v>1</x:v>
      </x:c>
      <x:c r="L44" s="4" t="str">
        <x:v>global</x:v>
      </x:c>
      <x:c r="M44" s="4" t="str"/>
      <x:c r="N44" s="4" t="str">
        <x:v>NOASSERTION</x:v>
      </x:c>
      <x:c r="O44" s="12" t="n">
        <x:v>46277.17107027778</x:v>
      </x:c>
      <x:c r="P44" s="4" t="str">
        <x:v>GitHub REST Search API</x:v>
      </x:c>
      <x:c r="Q44" s="4" t="str">
        <x:v>https://github.com/getify/You-Dont-Know-JS</x:v>
      </x:c>
      <x:c r="R44" s="4" t="str">
        <x:v>stars:&gt;=10000 fork:false archived:false</x:v>
      </x:c>
      <x:c r="S44" s="4" t="str">
        <x:v>https://api.github.com/search/repositories?q=stars%3A%3E%3D10000%20fork%3Afalse%20archived%3Afalse&amp;sort=stars&amp;order=desc&amp;per_page=100</x:v>
      </x:c>
    </x:row>
    <x:row r="45" ht="86" customHeight="1">
      <x:c r="A45" s="4" t="str">
        <x:v>avelino/awesome-go</x:v>
      </x:c>
      <x:c r="B45" s="11" t="n">
        <x:v>183858</x:v>
      </x:c>
      <x:c r="C45" s="4"/>
      <x:c r="D45" s="4" t="str">
        <x:v>未归入15类</x:v>
      </x:c>
      <x:c r="E45" s="4" t="str">
        <x:v>范围排除</x:v>
      </x:c>
      <x:c r="F45" s="4" t="n">
        <x:v>0</x:v>
      </x:c>
      <x:c r="G45" s="4" t="str">
        <x:v>教程/资源/技能资产</x:v>
      </x:c>
      <x:c r="H45" s="4" t="str">
        <x:v>知识/数据资产</x:v>
      </x:c>
      <x:c r="I45" s="4" t="str">
        <x:v>Go</x:v>
      </x:c>
      <x:c r="J45" s="4" t="str">
        <x:v>A curated list of awesome Go frameworks, libraries and software</x:v>
      </x:c>
      <x:c r="K45" s="4" t="n">
        <x:v>1</x:v>
      </x:c>
      <x:c r="L45" s="4" t="str">
        <x:v>global</x:v>
      </x:c>
      <x:c r="M45" s="4" t="str"/>
      <x:c r="N45" s="4" t="str">
        <x:v>MIT</x:v>
      </x:c>
      <x:c r="O45" s="12" t="n">
        <x:v>46277.17107027778</x:v>
      </x:c>
      <x:c r="P45" s="4" t="str">
        <x:v>GitHub REST Search API</x:v>
      </x:c>
      <x:c r="Q45" s="4" t="str">
        <x:v>https://github.com/avelino/awesome-go</x:v>
      </x:c>
      <x:c r="R45" s="4" t="str">
        <x:v>stars:&gt;=10000 fork:false archived:false</x:v>
      </x:c>
      <x:c r="S45" s="4" t="str">
        <x:v>https://api.github.com/search/repositories?q=stars%3A%3E%3D10000%20fork%3Afalse%20archived%3Afalse&amp;sort=stars&amp;order=desc&amp;per_page=100</x:v>
      </x:c>
    </x:row>
    <x:row r="46" ht="86" customHeight="1">
      <x:c r="A46" s="4" t="str">
        <x:v>microsoft/markitdown</x:v>
      </x:c>
      <x:c r="B46" s="11" t="n">
        <x:v>182711</x:v>
      </x:c>
      <x:c r="C46" s="4" t="n">
        <x:v>10</x:v>
      </x:c>
      <x:c r="D46" s="4" t="str">
        <x:v>文档与办公数据处理</x:v>
      </x:c>
      <x:c r="E46" s="4" t="str">
        <x:v>元数据已核验</x:v>
      </x:c>
      <x:c r="F46" s="4" t="n">
        <x:v>1</x:v>
      </x:c>
      <x:c r="G46" s="4" t="str">
        <x:v>软件项目</x:v>
      </x:c>
      <x:c r="H46" s="4" t="str">
        <x:v>文档/知识内容</x:v>
      </x:c>
      <x:c r="I46" s="4" t="str">
        <x:v>Python</x:v>
      </x:c>
      <x:c r="J46" s="4" t="str">
        <x:v>Python tool for converting files and office documents to Markdown.</x:v>
      </x:c>
      <x:c r="K46" s="4" t="n">
        <x:v>1</x:v>
      </x:c>
      <x:c r="L46" s="4" t="str">
        <x:v>global</x:v>
      </x:c>
      <x:c r="M46" s="4" t="str">
        <x:v>300、552</x:v>
      </x:c>
      <x:c r="N46" s="4" t="str">
        <x:v>MIT</x:v>
      </x:c>
      <x:c r="O46" s="12" t="n">
        <x:v>46277.17107027778</x:v>
      </x:c>
      <x:c r="P46" s="4" t="str">
        <x:v>GitHub REST Search API</x:v>
      </x:c>
      <x:c r="Q46" s="4" t="str">
        <x:v>https://github.com/microsoft/markitdown</x:v>
      </x:c>
      <x:c r="R46" s="4" t="str">
        <x:v>stars:&gt;=10000 fork:false archived:false</x:v>
      </x:c>
      <x:c r="S46" s="4" t="str">
        <x:v>https://api.github.com/search/repositories?q=stars%3A%3E%3D10000%20fork%3Afalse%20archived%3Afalse&amp;sort=stars&amp;order=desc&amp;per_page=100</x:v>
      </x:c>
    </x:row>
    <x:row r="47" ht="86" customHeight="1">
      <x:c r="A47" s="4" t="str">
        <x:v>ollama/ollama</x:v>
      </x:c>
      <x:c r="B47" s="11" t="n">
        <x:v>180702</x:v>
      </x:c>
      <x:c r="C47" s="4" t="n">
        <x:v>11</x:v>
      </x:c>
      <x:c r="D47" s="4" t="str">
        <x:v>AI模型与机器学习</x:v>
      </x:c>
      <x:c r="E47" s="4" t="str">
        <x:v>元数据已核验</x:v>
      </x:c>
      <x:c r="F47" s="4" t="n">
        <x:v>1</x:v>
      </x:c>
      <x:c r="G47" s="4" t="str">
        <x:v>软件项目</x:v>
      </x:c>
      <x:c r="H47" s="4" t="str">
        <x:v>AI模型/推理</x:v>
      </x:c>
      <x:c r="I47" s="4" t="str">
        <x:v>Go</x:v>
      </x:c>
      <x:c r="J47" s="4" t="str">
        <x:v>Get up and running with Kimi-K2.6, GLM-5.2, MiniMax, DeepSeek, gpt-oss, Qwen, Gemma and other models.</x:v>
      </x:c>
      <x:c r="K47" s="4" t="n">
        <x:v>1</x:v>
      </x:c>
      <x:c r="L47" s="4" t="str">
        <x:v>global</x:v>
      </x:c>
      <x:c r="M47" s="4" t="str"/>
      <x:c r="N47" s="4" t="str">
        <x:v>MIT</x:v>
      </x:c>
      <x:c r="O47" s="12" t="n">
        <x:v>46277.17107027778</x:v>
      </x:c>
      <x:c r="P47" s="4" t="str">
        <x:v>GitHub REST Search API</x:v>
      </x:c>
      <x:c r="Q47" s="4" t="str">
        <x:v>https://github.com/ollama/ollama</x:v>
      </x:c>
      <x:c r="R47" s="4" t="str">
        <x:v>stars:&gt;=10000 fork:false archived:false</x:v>
      </x:c>
      <x:c r="S47" s="4" t="str">
        <x:v>https://api.github.com/search/repositories?q=stars%3A%3E%3D10000%20fork%3Afalse%20archived%3Afalse&amp;sort=stars&amp;order=desc&amp;per_page=100</x:v>
      </x:c>
    </x:row>
    <x:row r="48" ht="86" customHeight="1">
      <x:c r="A48" s="4" t="str">
        <x:v>firecrawl/firecrawl</x:v>
      </x:c>
      <x:c r="B48" s="11" t="n">
        <x:v>179262</x:v>
      </x:c>
      <x:c r="C48" s="4" t="n">
        <x:v>12</x:v>
      </x:c>
      <x:c r="D48" s="4" t="str">
        <x:v>办公软件与桌面操作自动化</x:v>
      </x:c>
      <x:c r="E48" s="4" t="str">
        <x:v>元数据已核验</x:v>
      </x:c>
      <x:c r="F48" s="4" t="n">
        <x:v>1</x:v>
      </x:c>
      <x:c r="G48" s="4" t="str">
        <x:v>软件项目</x:v>
      </x:c>
      <x:c r="H48" s="4" t="str">
        <x:v>办公/浏览器执行</x:v>
      </x:c>
      <x:c r="I48" s="4" t="str">
        <x:v>TypeScript</x:v>
      </x:c>
      <x:c r="J48" s="4" t="str">
        <x:v>The context API to search, scrape, and interact with the web at scale. 🔥</x:v>
      </x:c>
      <x:c r="K48" s="4" t="n">
        <x:v>1</x:v>
      </x:c>
      <x:c r="L48" s="4" t="str">
        <x:v>global</x:v>
      </x:c>
      <x:c r="M48" s="4" t="str"/>
      <x:c r="N48" s="4" t="str">
        <x:v>AGPL-3.0</x:v>
      </x:c>
      <x:c r="O48" s="12" t="n">
        <x:v>46277.17107027778</x:v>
      </x:c>
      <x:c r="P48" s="4" t="str">
        <x:v>GitHub REST Search API</x:v>
      </x:c>
      <x:c r="Q48" s="4" t="str">
        <x:v>https://github.com/firecrawl/firecrawl</x:v>
      </x:c>
      <x:c r="R48" s="4" t="str">
        <x:v>stars:&gt;=10000 fork:false archived:false</x:v>
      </x:c>
      <x:c r="S48" s="4" t="str">
        <x:v>https://api.github.com/search/repositories?q=stars%3A%3E%3D10000%20fork%3Afalse%20archived%3Afalse&amp;sort=stars&amp;order=desc&amp;per_page=100</x:v>
      </x:c>
    </x:row>
    <x:row r="49" ht="86" customHeight="1">
      <x:c r="A49" s="4" t="str">
        <x:v>flutter/flutter</x:v>
      </x:c>
      <x:c r="B49" s="11" t="n">
        <x:v>178906</x:v>
      </x:c>
      <x:c r="C49" s="4" t="n">
        <x:v>7</x:v>
      </x:c>
      <x:c r="D49" s="4" t="str">
        <x:v>用户界面与交互</x:v>
      </x:c>
      <x:c r="E49" s="4" t="str">
        <x:v>元数据已核验</x:v>
      </x:c>
      <x:c r="F49" s="4" t="n">
        <x:v>1</x:v>
      </x:c>
      <x:c r="G49" s="4" t="str">
        <x:v>软件项目</x:v>
      </x:c>
      <x:c r="H49" s="4" t="str">
        <x:v>UI框架</x:v>
      </x:c>
      <x:c r="I49" s="4" t="str">
        <x:v>Dart</x:v>
      </x:c>
      <x:c r="J49" s="4" t="str">
        <x:v>Flutter makes it easy and fast to build beautiful apps for mobile and beyond</x:v>
      </x:c>
      <x:c r="K49" s="4" t="n">
        <x:v>1</x:v>
      </x:c>
      <x:c r="L49" s="4" t="str">
        <x:v>global</x:v>
      </x:c>
      <x:c r="M49" s="4" t="str"/>
      <x:c r="N49" s="4" t="str">
        <x:v>BSD-3-Clause</x:v>
      </x:c>
      <x:c r="O49" s="12" t="n">
        <x:v>46277.17107027778</x:v>
      </x:c>
      <x:c r="P49" s="4" t="str">
        <x:v>GitHub REST Search API</x:v>
      </x:c>
      <x:c r="Q49" s="4" t="str">
        <x:v>https://github.com/flutter/flutter</x:v>
      </x:c>
      <x:c r="R49" s="4" t="str">
        <x:v>stars:&gt;=10000 fork:false archived:false</x:v>
      </x:c>
      <x:c r="S49" s="4" t="str">
        <x:v>https://api.github.com/search/repositories?q=stars%3A%3E%3D10000%20fork%3Afalse%20archived%3Afalse&amp;sort=stars&amp;order=desc&amp;per_page=100</x:v>
      </x:c>
    </x:row>
    <x:row r="50" ht="86" customHeight="1">
      <x:c r="A50" s="4" t="str">
        <x:v>521xueweihan/HelloGitHub</x:v>
      </x:c>
      <x:c r="B50" s="11" t="n">
        <x:v>176084</x:v>
      </x:c>
      <x:c r="C50" s="4"/>
      <x:c r="D50" s="4" t="str">
        <x:v>未归入15类</x:v>
      </x:c>
      <x:c r="E50" s="4" t="str">
        <x:v>范围排除</x:v>
      </x:c>
      <x:c r="F50" s="4" t="n">
        <x:v>0</x:v>
      </x:c>
      <x:c r="G50" s="4" t="str">
        <x:v>教程/资源/技能资产</x:v>
      </x:c>
      <x:c r="H50" s="4" t="str">
        <x:v>知识/数据资产</x:v>
      </x:c>
      <x:c r="I50" s="4" t="str">
        <x:v>Python</x:v>
      </x:c>
      <x:c r="J50" s="4" t="str">
        <x:v>:octocat: 分享 GitHub 上有趣、入门级的开源项目。Share interesting, entry-level open source projects on GitHub.</x:v>
      </x:c>
      <x:c r="K50" s="4" t="n">
        <x:v>1</x:v>
      </x:c>
      <x:c r="L50" s="4" t="str">
        <x:v>global</x:v>
      </x:c>
      <x:c r="M50" s="4" t="str"/>
      <x:c r="N50" s="4" t="str">
        <x:v>未核验许可</x:v>
      </x:c>
      <x:c r="O50" s="12" t="n">
        <x:v>46277.17107027778</x:v>
      </x:c>
      <x:c r="P50" s="4" t="str">
        <x:v>GitHub REST Search API</x:v>
      </x:c>
      <x:c r="Q50" s="4" t="str">
        <x:v>https://github.com/521xueweihan/HelloGitHub</x:v>
      </x:c>
      <x:c r="R50" s="4" t="str">
        <x:v>stars:&gt;=10000 fork:false archived:false</x:v>
      </x:c>
      <x:c r="S50" s="4" t="str">
        <x:v>https://api.github.com/search/repositories?q=stars%3A%3E%3D10000%20fork%3Afalse%20archived%3Afalse&amp;sort=stars&amp;order=desc&amp;per_page=100</x:v>
      </x:c>
    </x:row>
    <x:row r="51" ht="86" customHeight="1">
      <x:c r="A51" s="4" t="str">
        <x:v>anthropics/skills</x:v>
      </x:c>
      <x:c r="B51" s="11" t="n">
        <x:v>175873</x:v>
      </x:c>
      <x:c r="C51" s="4"/>
      <x:c r="D51" s="4" t="str">
        <x:v>未归入15类</x:v>
      </x:c>
      <x:c r="E51" s="4" t="str">
        <x:v>范围排除</x:v>
      </x:c>
      <x:c r="F51" s="4" t="n">
        <x:v>0</x:v>
      </x:c>
      <x:c r="G51" s="4" t="str">
        <x:v>教程/资源/技能资产</x:v>
      </x:c>
      <x:c r="H51" s="4" t="str">
        <x:v>Agent资源（不等于运行时）</x:v>
      </x:c>
      <x:c r="I51" s="4" t="str">
        <x:v>Python</x:v>
      </x:c>
      <x:c r="J51" s="4" t="str">
        <x:v>Public repository for Agent Skills</x:v>
      </x:c>
      <x:c r="K51" s="4" t="n">
        <x:v>1</x:v>
      </x:c>
      <x:c r="L51" s="4" t="str">
        <x:v>global</x:v>
      </x:c>
      <x:c r="M51" s="4" t="str">
        <x:v>119</x:v>
      </x:c>
      <x:c r="N51" s="4" t="str">
        <x:v>未核验许可</x:v>
      </x:c>
      <x:c r="O51" s="12" t="n">
        <x:v>46277.17107027778</x:v>
      </x:c>
      <x:c r="P51" s="4" t="str">
        <x:v>GitHub REST Search API</x:v>
      </x:c>
      <x:c r="Q51" s="4" t="str">
        <x:v>https://github.com/anthropics/skills</x:v>
      </x:c>
      <x:c r="R51" s="4" t="str">
        <x:v>stars:&gt;=10000 fork:false archived:false</x:v>
      </x:c>
      <x:c r="S51" s="4" t="str">
        <x:v>https://api.github.com/search/repositories?q=stars%3A%3E%3D10000%20fork%3Afalse%20archived%3Afalse&amp;sort=stars&amp;order=desc&amp;per_page=100</x:v>
      </x:c>
    </x:row>
    <x:row r="52" ht="86" customHeight="1">
      <x:c r="A52" s="4" t="str">
        <x:v>github/gitignore</x:v>
      </x:c>
      <x:c r="B52" s="11" t="n">
        <x:v>175723</x:v>
      </x:c>
      <x:c r="C52" s="4"/>
      <x:c r="D52" s="4" t="str">
        <x:v>未归入15类</x:v>
      </x:c>
      <x:c r="E52" s="4" t="str">
        <x:v>范围排除</x:v>
      </x:c>
      <x:c r="F52" s="4" t="n">
        <x:v>0</x:v>
      </x:c>
      <x:c r="G52" s="4" t="str">
        <x:v>教程/资源/技能资产</x:v>
      </x:c>
      <x:c r="H52" s="4" t="str">
        <x:v>知识/数据资产</x:v>
      </x:c>
      <x:c r="I52" s="4" t="str">
        <x:v>未获取/未识别</x:v>
      </x:c>
      <x:c r="J52" s="4" t="str">
        <x:v>A collection of useful .gitignore templates</x:v>
      </x:c>
      <x:c r="K52" s="4" t="n">
        <x:v>1</x:v>
      </x:c>
      <x:c r="L52" s="4" t="str">
        <x:v>global</x:v>
      </x:c>
      <x:c r="M52" s="4" t="str"/>
      <x:c r="N52" s="4" t="str">
        <x:v>CC0-1.0</x:v>
      </x:c>
      <x:c r="O52" s="12" t="n">
        <x:v>46277.17107027778</x:v>
      </x:c>
      <x:c r="P52" s="4" t="str">
        <x:v>GitHub REST Search API</x:v>
      </x:c>
      <x:c r="Q52" s="4" t="str">
        <x:v>https://github.com/github/gitignore</x:v>
      </x:c>
      <x:c r="R52" s="4" t="str">
        <x:v>stars:&gt;=10000 fork:false archived:false</x:v>
      </x:c>
      <x:c r="S52" s="4" t="str">
        <x:v>https://api.github.com/search/repositories?q=stars%3A%3E%3D10000%20fork%3Afalse%20archived%3Afalse&amp;sort=stars&amp;order=desc&amp;per_page=100</x:v>
      </x:c>
    </x:row>
    <x:row r="53" ht="86" customHeight="1">
      <x:c r="A53" s="4" t="str">
        <x:v>twbs/bootstrap</x:v>
      </x:c>
      <x:c r="B53" s="11" t="n">
        <x:v>174764</x:v>
      </x:c>
      <x:c r="C53" s="4" t="n">
        <x:v>7</x:v>
      </x:c>
      <x:c r="D53" s="4" t="str">
        <x:v>用户界面与交互</x:v>
      </x:c>
      <x:c r="E53" s="4" t="str">
        <x:v>元数据已核验</x:v>
      </x:c>
      <x:c r="F53" s="4" t="n">
        <x:v>1</x:v>
      </x:c>
      <x:c r="G53" s="4" t="str">
        <x:v>软件项目</x:v>
      </x:c>
      <x:c r="H53" s="4" t="str">
        <x:v>UI框架</x:v>
      </x:c>
      <x:c r="I53" s="4" t="str">
        <x:v>MDX</x:v>
      </x:c>
      <x:c r="J53" s="4" t="str">
        <x:v>The most popular HTML, CSS, and JavaScript framework for developing responsive, mobile first projects on the web.</x:v>
      </x:c>
      <x:c r="K53" s="4" t="n">
        <x:v>1</x:v>
      </x:c>
      <x:c r="L53" s="4" t="str">
        <x:v>global</x:v>
      </x:c>
      <x:c r="M53" s="4" t="str"/>
      <x:c r="N53" s="4" t="str">
        <x:v>MIT</x:v>
      </x:c>
      <x:c r="O53" s="12" t="n">
        <x:v>46277.17107027778</x:v>
      </x:c>
      <x:c r="P53" s="4" t="str">
        <x:v>GitHub REST Search API</x:v>
      </x:c>
      <x:c r="Q53" s="4" t="str">
        <x:v>https://github.com/twbs/bootstrap</x:v>
      </x:c>
      <x:c r="R53" s="4" t="str">
        <x:v>stars:&gt;=10000 fork:false archived:false</x:v>
      </x:c>
      <x:c r="S53" s="4" t="str">
        <x:v>https://api.github.com/search/repositories?q=stars%3A%3E%3D10000%20fork%3Afalse%20archived%3Afalse&amp;sort=stars&amp;order=desc&amp;per_page=100</x:v>
      </x:c>
    </x:row>
    <x:row r="54" ht="86" customHeight="1">
      <x:c r="A54" s="4" t="str">
        <x:v>f/prompts.chat</x:v>
      </x:c>
      <x:c r="B54" s="11" t="n">
        <x:v>170011</x:v>
      </x:c>
      <x:c r="C54" s="4" t="n">
        <x:v>6</x:v>
      </x:c>
      <x:c r="D54" s="4" t="str">
        <x:v>后端服务与业务流程</x:v>
      </x:c>
      <x:c r="E54" s="4" t="str">
        <x:v>元数据已核验</x:v>
      </x:c>
      <x:c r="F54" s="4" t="n">
        <x:v>1</x:v>
      </x:c>
      <x:c r="G54" s="4" t="str">
        <x:v>软件项目</x:v>
      </x:c>
      <x:c r="H54" s="4" t="str">
        <x:v>业务应用/确定性工作流</x:v>
      </x:c>
      <x:c r="I54" s="4" t="str">
        <x:v>HTML</x:v>
      </x:c>
      <x:c r="J54" s="4" t="str">
        <x:v>f.k.a. Awesome ChatGPT Prompts. Share, discover, and collect prompts from the community. Free and open source — self-host for your organization with complete privacy.</x:v>
      </x:c>
      <x:c r="K54" s="4" t="n">
        <x:v>1</x:v>
      </x:c>
      <x:c r="L54" s="4" t="str">
        <x:v>global</x:v>
      </x:c>
      <x:c r="M54" s="4" t="str"/>
      <x:c r="N54" s="4" t="str">
        <x:v>NOASSERTION</x:v>
      </x:c>
      <x:c r="O54" s="12" t="n">
        <x:v>46277.17107027778</x:v>
      </x:c>
      <x:c r="P54" s="4" t="str">
        <x:v>GitHub REST Search API</x:v>
      </x:c>
      <x:c r="Q54" s="4" t="str">
        <x:v>https://github.com/f/prompts.chat</x:v>
      </x:c>
      <x:c r="R54" s="4" t="str">
        <x:v>stars:&gt;=10000 fork:false archived:false</x:v>
      </x:c>
      <x:c r="S54" s="4" t="str">
        <x:v>https://api.github.com/search/repositories?q=stars%3A%3E%3D10000%20fork%3Afalse%20archived%3Afalse&amp;sort=stars&amp;order=desc&amp;per_page=100</x:v>
      </x:c>
    </x:row>
    <x:row r="55" ht="86" customHeight="1">
      <x:c r="A55" s="4" t="str">
        <x:v>huggingface/transformers</x:v>
      </x:c>
      <x:c r="B55" s="11" t="n">
        <x:v>165134</x:v>
      </x:c>
      <x:c r="C55" s="4" t="n">
        <x:v>11</x:v>
      </x:c>
      <x:c r="D55" s="4" t="str">
        <x:v>AI模型与机器学习</x:v>
      </x:c>
      <x:c r="E55" s="4" t="str">
        <x:v>元数据已核验</x:v>
      </x:c>
      <x:c r="F55" s="4" t="n">
        <x:v>1</x:v>
      </x:c>
      <x:c r="G55" s="4" t="str">
        <x:v>软件项目</x:v>
      </x:c>
      <x:c r="H55" s="4" t="str">
        <x:v>AI模型/推理</x:v>
      </x:c>
      <x:c r="I55" s="4" t="str">
        <x:v>Python</x:v>
      </x:c>
      <x:c r="J55" s="4" t="str">
        <x:v>🤗 Transformers: the model-definition framework for state-of-the-art machine learning models in text, vision, audio, and multimodal models, for both inference and training. </x:v>
      </x:c>
      <x:c r="K55" s="4" t="n">
        <x:v>1</x:v>
      </x:c>
      <x:c r="L55" s="4" t="str">
        <x:v>11、global</x:v>
      </x:c>
      <x:c r="M55" s="4" t="str"/>
      <x:c r="N55" s="4" t="str">
        <x:v>Apache-2.0</x:v>
      </x:c>
      <x:c r="O55" s="12" t="n">
        <x:v>46277.17332342592</x:v>
      </x:c>
      <x:c r="P55" s="4" t="str">
        <x:v>GitHub REST Search API</x:v>
      </x:c>
      <x:c r="Q55" s="4" t="str">
        <x:v>https://github.com/huggingface/transformers</x:v>
      </x:c>
      <x:c r="R55" s="4" t="str">
        <x:v>machine learning in:name,description stars:&gt;=5000 fork:false archived:false
stars:&gt;=10000 fork:false archived:false</x:v>
      </x:c>
      <x:c r="S55" s="4" t="str">
        <x:v>https://api.github.com/search/repositories?q=machine%20learning%20in%3Aname%2Cdescription%20stars%3A%3E%3D5000%20fork%3Afalse%20archived%3Afalse&amp;sort=stars&amp;order=desc&amp;per_page=5</x:v>
      </x:c>
    </x:row>
    <x:row r="56" ht="86" customHeight="1">
      <x:c r="A56" s="4" t="str">
        <x:v>AUTOMATIC1111/stable-diffusion-webui</x:v>
      </x:c>
      <x:c r="B56" s="11" t="n">
        <x:v>164897</x:v>
      </x:c>
      <x:c r="C56" s="4" t="n">
        <x:v>11</x:v>
      </x:c>
      <x:c r="D56" s="4" t="str">
        <x:v>AI模型与机器学习</x:v>
      </x:c>
      <x:c r="E56" s="4" t="str">
        <x:v>元数据已核验</x:v>
      </x:c>
      <x:c r="F56" s="4" t="n">
        <x:v>1</x:v>
      </x:c>
      <x:c r="G56" s="4" t="str">
        <x:v>软件项目</x:v>
      </x:c>
      <x:c r="H56" s="4" t="str">
        <x:v>AI模型/推理</x:v>
      </x:c>
      <x:c r="I56" s="4" t="str">
        <x:v>Python</x:v>
      </x:c>
      <x:c r="J56" s="4" t="str">
        <x:v>Stable Diffusion web UI</x:v>
      </x:c>
      <x:c r="K56" s="4" t="n">
        <x:v>1</x:v>
      </x:c>
      <x:c r="L56" s="4" t="str">
        <x:v>07、global</x:v>
      </x:c>
      <x:c r="M56" s="4" t="str">
        <x:v>482</x:v>
      </x:c>
      <x:c r="N56" s="4" t="str">
        <x:v>AGPL-3.0</x:v>
      </x:c>
      <x:c r="O56" s="12" t="n">
        <x:v>46277.17111368055</x:v>
      </x:c>
      <x:c r="P56" s="4" t="str">
        <x:v>GitHub REST Search API</x:v>
      </x:c>
      <x:c r="Q56" s="4" t="str">
        <x:v>https://github.com/AUTOMATIC1111/stable-diffusion-webui</x:v>
      </x:c>
      <x:c r="R56" s="4" t="str">
        <x:v>UI in:name,description stars:&gt;=5000 fork:false archived:false
stars:&gt;=10000 fork:false archived:false</x:v>
      </x:c>
      <x:c r="S56" s="4" t="str">
        <x:v>https://api.github.com/search/repositories?q=UI%20in%3Aname%2Cdescription%20stars%3A%3E%3D5000%20fork%3Afalse%20archived%3Afalse&amp;sort=stars&amp;order=desc&amp;per_page=5</x:v>
      </x:c>
    </x:row>
    <x:row r="57" ht="86" customHeight="1">
      <x:c r="A57" s="4" t="str">
        <x:v>jlevy/the-art-of-command-line</x:v>
      </x:c>
      <x:c r="B57" s="11" t="n">
        <x:v>162345</x:v>
      </x:c>
      <x:c r="C57" s="4"/>
      <x:c r="D57" s="4" t="str">
        <x:v>未归入15类</x:v>
      </x:c>
      <x:c r="E57" s="4" t="str">
        <x:v>范围排除</x:v>
      </x:c>
      <x:c r="F57" s="4" t="n">
        <x:v>0</x:v>
      </x:c>
      <x:c r="G57" s="4" t="str">
        <x:v>教程/资源/技能资产</x:v>
      </x:c>
      <x:c r="H57" s="4" t="str">
        <x:v>知识/数据资产</x:v>
      </x:c>
      <x:c r="I57" s="4" t="str">
        <x:v>未获取/未识别</x:v>
      </x:c>
      <x:c r="J57" s="4" t="str">
        <x:v>Master the command line, in one page</x:v>
      </x:c>
      <x:c r="K57" s="4" t="n">
        <x:v>1</x:v>
      </x:c>
      <x:c r="L57" s="4" t="str">
        <x:v>global</x:v>
      </x:c>
      <x:c r="M57" s="4" t="str"/>
      <x:c r="N57" s="4" t="str">
        <x:v>未核验许可</x:v>
      </x:c>
      <x:c r="O57" s="12" t="n">
        <x:v>46277.17107027778</x:v>
      </x:c>
      <x:c r="P57" s="4" t="str">
        <x:v>GitHub REST Search API</x:v>
      </x:c>
      <x:c r="Q57" s="4" t="str">
        <x:v>https://github.com/jlevy/the-art-of-command-line</x:v>
      </x:c>
      <x:c r="R57" s="4" t="str">
        <x:v>stars:&gt;=10000 fork:false archived:false</x:v>
      </x:c>
      <x:c r="S57" s="4" t="str">
        <x:v>https://api.github.com/search/repositories?q=stars%3A%3E%3D10000%20fork%3Afalse%20archived%3Afalse&amp;sort=stars&amp;order=desc&amp;per_page=100</x:v>
      </x:c>
    </x:row>
    <x:row r="58" ht="86" customHeight="1">
      <x:c r="A58" s="4" t="str">
        <x:v>Snailclimb/JavaGuide</x:v>
      </x:c>
      <x:c r="B58" s="11" t="n">
        <x:v>158461</x:v>
      </x:c>
      <x:c r="C58" s="4"/>
      <x:c r="D58" s="4" t="str">
        <x:v>未归入15类</x:v>
      </x:c>
      <x:c r="E58" s="4" t="str">
        <x:v>范围排除</x:v>
      </x:c>
      <x:c r="F58" s="4" t="n">
        <x:v>0</x:v>
      </x:c>
      <x:c r="G58" s="4" t="str">
        <x:v>教程/资源/技能资产</x:v>
      </x:c>
      <x:c r="H58" s="4" t="str">
        <x:v>知识/数据资产</x:v>
      </x:c>
      <x:c r="I58" s="4" t="str">
        <x:v>JavaScript</x:v>
      </x:c>
      <x:c r="J58" s="4" t="str">
        <x:v>Java 面试 &amp; 后端通用面试指南，覆盖计算机基础、数据库、分布式、高并发、系统设计与 AI 应用开发</x:v>
      </x:c>
      <x:c r="K58" s="4" t="n">
        <x:v>1</x:v>
      </x:c>
      <x:c r="L58" s="4" t="str">
        <x:v>global</x:v>
      </x:c>
      <x:c r="M58" s="4" t="str"/>
      <x:c r="N58" s="4" t="str">
        <x:v>Apache-2.0</x:v>
      </x:c>
      <x:c r="O58" s="12" t="n">
        <x:v>46277.17107027778</x:v>
      </x:c>
      <x:c r="P58" s="4" t="str">
        <x:v>GitHub REST Search API</x:v>
      </x:c>
      <x:c r="Q58" s="4" t="str">
        <x:v>https://github.com/Snailclimb/JavaGuide</x:v>
      </x:c>
      <x:c r="R58" s="4" t="str">
        <x:v>stars:&gt;=10000 fork:false archived:false</x:v>
      </x:c>
      <x:c r="S58" s="4" t="str">
        <x:v>https://api.github.com/search/repositories?q=stars%3A%3E%3D10000%20fork%3Afalse%20archived%3Afalse&amp;sort=stars&amp;order=desc&amp;per_page=100</x:v>
      </x:c>
    </x:row>
    <x:row r="59" ht="86" customHeight="1">
      <x:c r="A59" s="4" t="str">
        <x:v>langgenius/dify</x:v>
      </x:c>
      <x:c r="B59" s="11" t="n">
        <x:v>155471</x:v>
      </x:c>
      <x:c r="C59" s="4" t="n">
        <x:v>13</x:v>
      </x:c>
      <x:c r="D59" s="4" t="str">
        <x:v>Agent编排与工具执行</x:v>
      </x:c>
      <x:c r="E59" s="4" t="str">
        <x:v>元数据已核验</x:v>
      </x:c>
      <x:c r="F59" s="4" t="n">
        <x:v>1</x:v>
      </x:c>
      <x:c r="G59" s="4" t="str">
        <x:v>软件项目</x:v>
      </x:c>
      <x:c r="H59" s="4" t="str">
        <x:v>Agent/模型与工具</x:v>
      </x:c>
      <x:c r="I59" s="4" t="str">
        <x:v>TypeScript</x:v>
      </x:c>
      <x:c r="J59" s="4" t="str">
        <x:v>Build Agentic workflows, RAG pipelines, with rich AI model and tool support on one collaborative workspace. Deploy on cloud, VPC, or self-hosted, so teams move from prototype to production without reb…</x:v>
      </x:c>
      <x:c r="K59" s="4" t="n">
        <x:v>1</x:v>
      </x:c>
      <x:c r="L59" s="4" t="str">
        <x:v>global</x:v>
      </x:c>
      <x:c r="M59" s="4" t="str">
        <x:v>269</x:v>
      </x:c>
      <x:c r="N59" s="4" t="str">
        <x:v>NOASSERTION</x:v>
      </x:c>
      <x:c r="O59" s="12" t="n">
        <x:v>46277.17107027778</x:v>
      </x:c>
      <x:c r="P59" s="4" t="str">
        <x:v>GitHub REST Search API</x:v>
      </x:c>
      <x:c r="Q59" s="4" t="str">
        <x:v>https://github.com/langgenius/dify</x:v>
      </x:c>
      <x:c r="R59" s="4" t="str">
        <x:v>stars:&gt;=10000 fork:false archived:false</x:v>
      </x:c>
      <x:c r="S59" s="4" t="str">
        <x:v>https://api.github.com/search/repositories?q=stars%3A%3E%3D10000%20fork%3Afalse%20archived%3Afalse&amp;sort=stars&amp;order=desc&amp;per_page=100</x:v>
      </x:c>
    </x:row>
    <x:row r="60" ht="86" customHeight="1">
      <x:c r="A60" s="4" t="str">
        <x:v>langflow-ai/langflow</x:v>
      </x:c>
      <x:c r="B60" s="11" t="n">
        <x:v>154609</x:v>
      </x:c>
      <x:c r="C60" s="4" t="n">
        <x:v>13</x:v>
      </x:c>
      <x:c r="D60" s="4" t="str">
        <x:v>Agent编排与工具执行</x:v>
      </x:c>
      <x:c r="E60" s="4" t="str">
        <x:v>元数据已核验</x:v>
      </x:c>
      <x:c r="F60" s="4" t="n">
        <x:v>1</x:v>
      </x:c>
      <x:c r="G60" s="4" t="str">
        <x:v>软件项目</x:v>
      </x:c>
      <x:c r="H60" s="4" t="str">
        <x:v>Agent/模型与工具</x:v>
      </x:c>
      <x:c r="I60" s="4" t="str">
        <x:v>Python</x:v>
      </x:c>
      <x:c r="J60" s="4" t="str">
        <x:v>Langflow is a powerful tool for building and deploying AI-powered agents and workflows.</x:v>
      </x:c>
      <x:c r="K60" s="4" t="n">
        <x:v>1</x:v>
      </x:c>
      <x:c r="L60" s="4" t="str">
        <x:v>global</x:v>
      </x:c>
      <x:c r="M60" s="4" t="str"/>
      <x:c r="N60" s="4" t="str">
        <x:v>MIT</x:v>
      </x:c>
      <x:c r="O60" s="12" t="n">
        <x:v>46277.17107027778</x:v>
      </x:c>
      <x:c r="P60" s="4" t="str">
        <x:v>GitHub REST Search API</x:v>
      </x:c>
      <x:c r="Q60" s="4" t="str">
        <x:v>https://github.com/langflow-ai/langflow</x:v>
      </x:c>
      <x:c r="R60" s="4" t="str">
        <x:v>stars:&gt;=10000 fork:false archived:false</x:v>
      </x:c>
      <x:c r="S60" s="4" t="str">
        <x:v>https://api.github.com/search/repositories?q=stars%3A%3E%3D10000%20fork%3Afalse%20archived%3Afalse&amp;sort=stars&amp;order=desc&amp;per_page=100</x:v>
      </x:c>
    </x:row>
    <x:row r="61" ht="86" customHeight="1">
      <x:c r="A61" s="4" t="str">
        <x:v>msitarzewski/agency-agents</x:v>
      </x:c>
      <x:c r="B61" s="11" t="n">
        <x:v>151749</x:v>
      </x:c>
      <x:c r="C61" s="4"/>
      <x:c r="D61" s="4" t="str">
        <x:v>未归入15类</x:v>
      </x:c>
      <x:c r="E61" s="4" t="str">
        <x:v>范围排除</x:v>
      </x:c>
      <x:c r="F61" s="4" t="n">
        <x:v>0</x:v>
      </x:c>
      <x:c r="G61" s="4" t="str">
        <x:v>教程/资源/技能资产</x:v>
      </x:c>
      <x:c r="H61" s="4" t="str">
        <x:v>Agent资源（不等于运行时）</x:v>
      </x:c>
      <x:c r="I61" s="4" t="str">
        <x:v>Shell</x:v>
      </x:c>
      <x:c r="J61" s="4" t="str">
        <x:v>A complete AI agency at your fingertips - From frontend wizards to Reddit community ninjas, from whimsy injectors to reality checkers. Each agent is a specialized expert with personality, processes, a…</x:v>
      </x:c>
      <x:c r="K61" s="4" t="n">
        <x:v>1</x:v>
      </x:c>
      <x:c r="L61" s="4" t="str">
        <x:v>global</x:v>
      </x:c>
      <x:c r="M61" s="4" t="str"/>
      <x:c r="N61" s="4" t="str">
        <x:v>MIT</x:v>
      </x:c>
      <x:c r="O61" s="12" t="n">
        <x:v>46277.17107027778</x:v>
      </x:c>
      <x:c r="P61" s="4" t="str">
        <x:v>GitHub REST Search API</x:v>
      </x:c>
      <x:c r="Q61" s="4" t="str">
        <x:v>https://github.com/msitarzewski/agency-agents</x:v>
      </x:c>
      <x:c r="R61" s="4" t="str">
        <x:v>stars:&gt;=10000 fork:false archived:false</x:v>
      </x:c>
      <x:c r="S61" s="4" t="str">
        <x:v>https://api.github.com/search/repositories?q=stars%3A%3E%3D10000%20fork%3Afalse%20archived%3Afalse&amp;sort=stars&amp;order=desc&amp;per_page=100</x:v>
      </x:c>
    </x:row>
    <x:row r="62" ht="86" customHeight="1">
      <x:c r="A62" s="4" t="str">
        <x:v>open-webui/open-webui</x:v>
      </x:c>
      <x:c r="B62" s="11" t="n">
        <x:v>151685</x:v>
      </x:c>
      <x:c r="C62" s="4" t="n">
        <x:v>13</x:v>
      </x:c>
      <x:c r="D62" s="4" t="str">
        <x:v>Agent编排与工具执行</x:v>
      </x:c>
      <x:c r="E62" s="4" t="str">
        <x:v>元数据已核验</x:v>
      </x:c>
      <x:c r="F62" s="4" t="n">
        <x:v>1</x:v>
      </x:c>
      <x:c r="G62" s="4" t="str">
        <x:v>软件项目</x:v>
      </x:c>
      <x:c r="H62" s="4" t="str">
        <x:v>Agent/模型与工具</x:v>
      </x:c>
      <x:c r="I62" s="4" t="str">
        <x:v>Python</x:v>
      </x:c>
      <x:c r="J62" s="4" t="str">
        <x:v>User-friendly AI Interface (Supports Ollama, OpenAI API, ...)</x:v>
      </x:c>
      <x:c r="K62" s="4" t="n">
        <x:v>1</x:v>
      </x:c>
      <x:c r="L62" s="4" t="str">
        <x:v>global</x:v>
      </x:c>
      <x:c r="M62" s="4" t="str">
        <x:v>477</x:v>
      </x:c>
      <x:c r="N62" s="4" t="str">
        <x:v>NOASSERTION</x:v>
      </x:c>
      <x:c r="O62" s="12" t="n">
        <x:v>46277.17107027778</x:v>
      </x:c>
      <x:c r="P62" s="4" t="str">
        <x:v>GitHub REST Search API</x:v>
      </x:c>
      <x:c r="Q62" s="4" t="str">
        <x:v>https://github.com/open-webui/open-webui</x:v>
      </x:c>
      <x:c r="R62" s="4" t="str">
        <x:v>stars:&gt;=10000 fork:false archived:false</x:v>
      </x:c>
      <x:c r="S62" s="4" t="str">
        <x:v>https://api.github.com/search/repositories?q=stars%3A%3E%3D10000%20fork%3Afalse%20archived%3Afalse&amp;sort=stars&amp;order=desc&amp;per_page=100</x:v>
      </x:c>
    </x:row>
    <x:row r="63" ht="86" customHeight="1">
      <x:c r="A63" s="4" t="str">
        <x:v>Genymobile/scrcpy</x:v>
      </x:c>
      <x:c r="B63" s="11" t="n">
        <x:v>149427</x:v>
      </x:c>
      <x:c r="C63" s="4" t="n">
        <x:v>12</x:v>
      </x:c>
      <x:c r="D63" s="4" t="str">
        <x:v>办公软件与桌面操作自动化</x:v>
      </x:c>
      <x:c r="E63" s="4" t="str">
        <x:v>元数据已核验</x:v>
      </x:c>
      <x:c r="F63" s="4" t="n">
        <x:v>1</x:v>
      </x:c>
      <x:c r="G63" s="4" t="str">
        <x:v>软件项目</x:v>
      </x:c>
      <x:c r="H63" s="4" t="str">
        <x:v>办公/浏览器执行</x:v>
      </x:c>
      <x:c r="I63" s="4" t="str">
        <x:v>C</x:v>
      </x:c>
      <x:c r="J63" s="4" t="str">
        <x:v>Display and control your Android device</x:v>
      </x:c>
      <x:c r="K63" s="4" t="n">
        <x:v>1</x:v>
      </x:c>
      <x:c r="L63" s="4" t="str">
        <x:v>global</x:v>
      </x:c>
      <x:c r="M63" s="4" t="str"/>
      <x:c r="N63" s="4" t="str">
        <x:v>Apache-2.0</x:v>
      </x:c>
      <x:c r="O63" s="12" t="n">
        <x:v>46277.17107027778</x:v>
      </x:c>
      <x:c r="P63" s="4" t="str">
        <x:v>GitHub REST Search API</x:v>
      </x:c>
      <x:c r="Q63" s="4" t="str">
        <x:v>https://github.com/Genymobile/scrcpy</x:v>
      </x:c>
      <x:c r="R63" s="4" t="str">
        <x:v>stars:&gt;=10000 fork:false archived:false</x:v>
      </x:c>
      <x:c r="S63" s="4" t="str">
        <x:v>https://api.github.com/search/repositories?q=stars%3A%3E%3D10000%20fork%3Afalse%20archived%3Afalse&amp;sort=stars&amp;order=desc&amp;per_page=100</x:v>
      </x:c>
    </x:row>
    <x:row r="64" ht="86" customHeight="1">
      <x:c r="A64" s="4" t="str">
        <x:v>airbnb/javascript</x:v>
      </x:c>
      <x:c r="B64" s="11" t="n">
        <x:v>148205</x:v>
      </x:c>
      <x:c r="C64" s="4"/>
      <x:c r="D64" s="4" t="str">
        <x:v>未归入15类</x:v>
      </x:c>
      <x:c r="E64" s="4" t="str">
        <x:v>范围排除</x:v>
      </x:c>
      <x:c r="F64" s="4" t="n">
        <x:v>0</x:v>
      </x:c>
      <x:c r="G64" s="4" t="str">
        <x:v>教程/资源/技能资产</x:v>
      </x:c>
      <x:c r="H64" s="4" t="str">
        <x:v>知识/数据资产</x:v>
      </x:c>
      <x:c r="I64" s="4" t="str">
        <x:v>JavaScript</x:v>
      </x:c>
      <x:c r="J64" s="4" t="str">
        <x:v>JavaScript Style Guide</x:v>
      </x:c>
      <x:c r="K64" s="4" t="n">
        <x:v>1</x:v>
      </x:c>
      <x:c r="L64" s="4" t="str">
        <x:v>global</x:v>
      </x:c>
      <x:c r="M64" s="4" t="str"/>
      <x:c r="N64" s="4" t="str">
        <x:v>MIT</x:v>
      </x:c>
      <x:c r="O64" s="12" t="n">
        <x:v>46277.17107027778</x:v>
      </x:c>
      <x:c r="P64" s="4" t="str">
        <x:v>GitHub REST Search API</x:v>
      </x:c>
      <x:c r="Q64" s="4" t="str">
        <x:v>https://github.com/airbnb/javascript</x:v>
      </x:c>
      <x:c r="R64" s="4" t="str">
        <x:v>stars:&gt;=10000 fork:false archived:false</x:v>
      </x:c>
      <x:c r="S64" s="4" t="str">
        <x:v>https://api.github.com/search/repositories?q=stars%3A%3E%3D10000%20fork%3Afalse%20archived%3Afalse&amp;sort=stars&amp;order=desc&amp;per_page=100</x:v>
      </x:c>
    </x:row>
    <x:row r="65" ht="86" customHeight="1">
      <x:c r="A65" s="4" t="str">
        <x:v>langchain-ai/langchain</x:v>
      </x:c>
      <x:c r="B65" s="11" t="n">
        <x:v>146153</x:v>
      </x:c>
      <x:c r="C65" s="4" t="n">
        <x:v>13</x:v>
      </x:c>
      <x:c r="D65" s="4" t="str">
        <x:v>Agent编排与工具执行</x:v>
      </x:c>
      <x:c r="E65" s="4" t="str">
        <x:v>元数据已核验</x:v>
      </x:c>
      <x:c r="F65" s="4" t="n">
        <x:v>1</x:v>
      </x:c>
      <x:c r="G65" s="4" t="str">
        <x:v>软件项目</x:v>
      </x:c>
      <x:c r="H65" s="4" t="str">
        <x:v>Agent/模型与工具</x:v>
      </x:c>
      <x:c r="I65" s="4" t="str">
        <x:v>Python</x:v>
      </x:c>
      <x:c r="J65" s="4" t="str">
        <x:v>The agent engineering platform.</x:v>
      </x:c>
      <x:c r="K65" s="4" t="n">
        <x:v>1</x:v>
      </x:c>
      <x:c r="L65" s="4" t="str">
        <x:v>global</x:v>
      </x:c>
      <x:c r="M65" s="4" t="str"/>
      <x:c r="N65" s="4" t="str">
        <x:v>MIT</x:v>
      </x:c>
      <x:c r="O65" s="12" t="n">
        <x:v>46277.17107027778</x:v>
      </x:c>
      <x:c r="P65" s="4" t="str">
        <x:v>GitHub REST Search API</x:v>
      </x:c>
      <x:c r="Q65" s="4" t="str">
        <x:v>https://github.com/langchain-ai/langchain</x:v>
      </x:c>
      <x:c r="R65" s="4" t="str">
        <x:v>stars:&gt;=10000 fork:false archived:false</x:v>
      </x:c>
      <x:c r="S65" s="4" t="str">
        <x:v>https://api.github.com/search/repositories?q=stars%3A%3E%3D10000%20fork%3Afalse%20archived%3Afalse&amp;sort=stars&amp;order=desc&amp;per_page=100</x:v>
      </x:c>
    </x:row>
    <x:row r="66" ht="86" customHeight="1">
      <x:c r="A66" s="4" t="str">
        <x:v>anthropics/claude-code</x:v>
      </x:c>
      <x:c r="B66" s="11" t="n">
        <x:v>144794</x:v>
      </x:c>
      <x:c r="C66" s="4" t="n">
        <x:v>14</x:v>
      </x:c>
      <x:c r="D66" s="4" t="str">
        <x:v>软件构建、开发与测试</x:v>
      </x:c>
      <x:c r="E66" s="4" t="str">
        <x:v>元数据已核验</x:v>
      </x:c>
      <x:c r="F66" s="4" t="n">
        <x:v>1</x:v>
      </x:c>
      <x:c r="G66" s="4" t="str">
        <x:v>软件项目</x:v>
      </x:c>
      <x:c r="H66" s="4" t="str">
        <x:v>软件工程；编程Agent需额外挂13标签</x:v>
      </x:c>
      <x:c r="I66" s="4" t="str">
        <x:v>Python</x:v>
      </x:c>
      <x:c r="J66" s="4" t="str">
        <x:v>Claude Code is an agentic coding tool that lives in your terminal, understands your codebase, and helps you code faster by executing routine tasks, explaining complex code, and handling git workflows …</x:v>
      </x:c>
      <x:c r="K66" s="4" t="n">
        <x:v>1</x:v>
      </x:c>
      <x:c r="L66" s="4" t="str">
        <x:v>global</x:v>
      </x:c>
      <x:c r="M66" s="4" t="str">
        <x:v>115</x:v>
      </x:c>
      <x:c r="N66" s="4" t="str">
        <x:v>未核验许可</x:v>
      </x:c>
      <x:c r="O66" s="12" t="n">
        <x:v>46277.17107027778</x:v>
      </x:c>
      <x:c r="P66" s="4" t="str">
        <x:v>GitHub REST Search API</x:v>
      </x:c>
      <x:c r="Q66" s="4" t="str">
        <x:v>https://github.com/anthropics/claude-code</x:v>
      </x:c>
      <x:c r="R66" s="4" t="str">
        <x:v>stars:&gt;=10000 fork:false archived:false</x:v>
      </x:c>
      <x:c r="S66" s="4" t="str">
        <x:v>https://api.github.com/search/repositories?q=stars%3A%3E%3D10000%20fork%3Afalse%20archived%3Afalse&amp;sort=stars&amp;order=desc&amp;per_page=100</x:v>
      </x:c>
    </x:row>
    <x:row r="67" ht="86" customHeight="1">
      <x:c r="A67" s="4" t="str">
        <x:v>clash-verge-rev/clash-verge-rev</x:v>
      </x:c>
      <x:c r="B67" s="11" t="n">
        <x:v>143894</x:v>
      </x:c>
      <x:c r="C67" s="4" t="n">
        <x:v>3</x:v>
      </x:c>
      <x:c r="D67" s="4" t="str">
        <x:v>网络与通信协议</x:v>
      </x:c>
      <x:c r="E67" s="4" t="str">
        <x:v>元数据已核验</x:v>
      </x:c>
      <x:c r="F67" s="4" t="n">
        <x:v>1</x:v>
      </x:c>
      <x:c r="G67" s="4" t="str">
        <x:v>软件项目</x:v>
      </x:c>
      <x:c r="H67" s="4" t="str">
        <x:v>网络通信</x:v>
      </x:c>
      <x:c r="I67" s="4" t="str">
        <x:v>Rust</x:v>
      </x:c>
      <x:c r="J67" s="4" t="str">
        <x:v>A modern GUI client based on Tauri, designed to run in Windows, macOS and Linux for tailored proxy experience</x:v>
      </x:c>
      <x:c r="K67" s="4" t="n">
        <x:v>1</x:v>
      </x:c>
      <x:c r="L67" s="4" t="str">
        <x:v>global</x:v>
      </x:c>
      <x:c r="M67" s="4" t="str"/>
      <x:c r="N67" s="4" t="str">
        <x:v>GPL-3.0</x:v>
      </x:c>
      <x:c r="O67" s="12" t="n">
        <x:v>46277.17107027778</x:v>
      </x:c>
      <x:c r="P67" s="4" t="str">
        <x:v>GitHub REST Search API</x:v>
      </x:c>
      <x:c r="Q67" s="4" t="str">
        <x:v>https://github.com/clash-verge-rev/clash-verge-rev</x:v>
      </x:c>
      <x:c r="R67" s="4" t="str">
        <x:v>stars:&gt;=10000 fork:false archived:false</x:v>
      </x:c>
      <x:c r="S67" s="4" t="str">
        <x:v>https://api.github.com/search/repositories?q=stars%3A%3E%3D10000%20fork%3Afalse%20archived%3Afalse&amp;sort=stars&amp;order=desc&amp;per_page=100</x:v>
      </x:c>
    </x:row>
    <x:row r="68" ht="86" customHeight="1">
      <x:c r="A68" s="4" t="str">
        <x:v>x1xhlol/system-prompts-and-models-of-ai-tools</x:v>
      </x:c>
      <x:c r="B68" s="11" t="n">
        <x:v>143548</x:v>
      </x:c>
      <x:c r="C68" s="4"/>
      <x:c r="D68" s="4" t="str">
        <x:v>未归入15类</x:v>
      </x:c>
      <x:c r="E68" s="4" t="str">
        <x:v>范围排除</x:v>
      </x:c>
      <x:c r="F68" s="4" t="n">
        <x:v>0</x:v>
      </x:c>
      <x:c r="G68" s="4" t="str">
        <x:v>教程/资源/技能资产</x:v>
      </x:c>
      <x:c r="H68" s="4" t="str">
        <x:v>知识/数据资产</x:v>
      </x:c>
      <x:c r="I68" s="4" t="str">
        <x:v>未获取/未识别</x:v>
      </x:c>
      <x:c r="J68" s="4" t="str">
        <x:v>FULL Augment Code, Claude Code, Cluely, CodeBuddy, Comet, Cursor, Devin AI, Junie, Kiro, Leap.new, Lovable, Manus, NotionAI, Orchids.app, Perplexity, Poke, Qoder, Replit, Same.dev, Trae, Traycer AI, V…</x:v>
      </x:c>
      <x:c r="K68" s="4" t="n">
        <x:v>1</x:v>
      </x:c>
      <x:c r="L68" s="4" t="str">
        <x:v>global</x:v>
      </x:c>
      <x:c r="M68" s="4" t="str"/>
      <x:c r="N68" s="4" t="str">
        <x:v>GPL-3.0</x:v>
      </x:c>
      <x:c r="O68" s="12" t="n">
        <x:v>46277.17107027778</x:v>
      </x:c>
      <x:c r="P68" s="4" t="str">
        <x:v>GitHub REST Search API</x:v>
      </x:c>
      <x:c r="Q68" s="4" t="str">
        <x:v>https://github.com/x1xhlol/system-prompts-and-models-of-ai-tools</x:v>
      </x:c>
      <x:c r="R68" s="4" t="str">
        <x:v>stars:&gt;=10000 fork:false archived:false</x:v>
      </x:c>
      <x:c r="S68" s="4" t="str">
        <x:v>https://api.github.com/search/repositories?q=stars%3A%3E%3D10000%20fork%3Afalse%20archived%3Afalse&amp;sort=stars&amp;order=desc&amp;per_page=100</x:v>
      </x:c>
    </x:row>
    <x:row r="69" ht="86" customHeight="1">
      <x:c r="A69" s="4" t="str">
        <x:v>yangshun/tech-interview-handbook</x:v>
      </x:c>
      <x:c r="B69" s="11" t="n">
        <x:v>142572</x:v>
      </x:c>
      <x:c r="C69" s="4"/>
      <x:c r="D69" s="4" t="str">
        <x:v>未归入15类</x:v>
      </x:c>
      <x:c r="E69" s="4" t="str">
        <x:v>范围排除</x:v>
      </x:c>
      <x:c r="F69" s="4" t="n">
        <x:v>0</x:v>
      </x:c>
      <x:c r="G69" s="4" t="str">
        <x:v>教程/资源/技能资产</x:v>
      </x:c>
      <x:c r="H69" s="4" t="str">
        <x:v>知识/数据资产</x:v>
      </x:c>
      <x:c r="I69" s="4" t="str">
        <x:v>TypeScript</x:v>
      </x:c>
      <x:c r="J69" s="4" t="str">
        <x:v>Curated coding interview preparation materials for busy software engineers</x:v>
      </x:c>
      <x:c r="K69" s="4" t="n">
        <x:v>1</x:v>
      </x:c>
      <x:c r="L69" s="4" t="str">
        <x:v>global</x:v>
      </x:c>
      <x:c r="M69" s="4" t="str"/>
      <x:c r="N69" s="4" t="str">
        <x:v>MIT</x:v>
      </x:c>
      <x:c r="O69" s="12" t="n">
        <x:v>46277.17107027778</x:v>
      </x:c>
      <x:c r="P69" s="4" t="str">
        <x:v>GitHub REST Search API</x:v>
      </x:c>
      <x:c r="Q69" s="4" t="str">
        <x:v>https://github.com/yangshun/tech-interview-handbook</x:v>
      </x:c>
      <x:c r="R69" s="4" t="str">
        <x:v>stars:&gt;=10000 fork:false archived:false</x:v>
      </x:c>
      <x:c r="S69" s="4" t="str">
        <x:v>https://api.github.com/search/repositories?q=stars%3A%3E%3D10000%20fork%3Afalse%20archived%3Afalse&amp;sort=stars&amp;order=desc&amp;per_page=100</x:v>
      </x:c>
    </x:row>
    <x:row r="70" ht="86" customHeight="1">
      <x:c r="A70" s="4" t="str">
        <x:v>vercel/next.js</x:v>
      </x:c>
      <x:c r="B70" s="11" t="n">
        <x:v>142245</x:v>
      </x:c>
      <x:c r="C70" s="4" t="n">
        <x:v>7</x:v>
      </x:c>
      <x:c r="D70" s="4" t="str">
        <x:v>用户界面与交互</x:v>
      </x:c>
      <x:c r="E70" s="4" t="str">
        <x:v>元数据已核验</x:v>
      </x:c>
      <x:c r="F70" s="4" t="n">
        <x:v>1</x:v>
      </x:c>
      <x:c r="G70" s="4" t="str">
        <x:v>软件项目</x:v>
      </x:c>
      <x:c r="H70" s="4" t="str">
        <x:v>UI框架</x:v>
      </x:c>
      <x:c r="I70" s="4" t="str">
        <x:v>JavaScript</x:v>
      </x:c>
      <x:c r="J70" s="4" t="str">
        <x:v>The React Framework</x:v>
      </x:c>
      <x:c r="K70" s="4" t="n">
        <x:v>1</x:v>
      </x:c>
      <x:c r="L70" s="4" t="str">
        <x:v>global</x:v>
      </x:c>
      <x:c r="M70" s="4" t="str"/>
      <x:c r="N70" s="4" t="str">
        <x:v>MIT</x:v>
      </x:c>
      <x:c r="O70" s="12" t="n">
        <x:v>46277.17107027778</x:v>
      </x:c>
      <x:c r="P70" s="4" t="str">
        <x:v>GitHub REST Search API</x:v>
      </x:c>
      <x:c r="Q70" s="4" t="str">
        <x:v>https://github.com/vercel/next.js</x:v>
      </x:c>
      <x:c r="R70" s="4" t="str">
        <x:v>stars:&gt;=10000 fork:false archived:false</x:v>
      </x:c>
      <x:c r="S70" s="4" t="str">
        <x:v>https://api.github.com/search/repositories?q=stars%3A%3E%3D10000%20fork%3Afalse%20archived%3Afalse&amp;sort=stars&amp;order=desc&amp;per_page=100</x:v>
      </x:c>
    </x:row>
    <x:row r="71" ht="86" customHeight="1">
      <x:c r="A71" s="4" t="str">
        <x:v>ytdl-org/youtube-dl</x:v>
      </x:c>
      <x:c r="B71" s="11" t="n">
        <x:v>141188</x:v>
      </x:c>
      <x:c r="C71" s="4" t="n">
        <x:v>9</x:v>
      </x:c>
      <x:c r="D71" s="4" t="str">
        <x:v>图形、多媒体与实时应用</x:v>
      </x:c>
      <x:c r="E71" s="4" t="str">
        <x:v>元数据已核验</x:v>
      </x:c>
      <x:c r="F71" s="4" t="n">
        <x:v>1</x:v>
      </x:c>
      <x:c r="G71" s="4" t="str">
        <x:v>软件项目</x:v>
      </x:c>
      <x:c r="H71" s="4" t="str">
        <x:v>媒体/图形</x:v>
      </x:c>
      <x:c r="I71" s="4" t="str">
        <x:v>Python</x:v>
      </x:c>
      <x:c r="J71" s="4" t="str">
        <x:v>Command-line program to download videos from YouTube.com and other video sites</x:v>
      </x:c>
      <x:c r="K71" s="4" t="n">
        <x:v>1</x:v>
      </x:c>
      <x:c r="L71" s="4" t="str">
        <x:v>global</x:v>
      </x:c>
      <x:c r="M71" s="4" t="str">
        <x:v>585</x:v>
      </x:c>
      <x:c r="N71" s="4" t="str">
        <x:v>Unlicense</x:v>
      </x:c>
      <x:c r="O71" s="12" t="n">
        <x:v>46277.17107027778</x:v>
      </x:c>
      <x:c r="P71" s="4" t="str">
        <x:v>GitHub REST Search API</x:v>
      </x:c>
      <x:c r="Q71" s="4" t="str">
        <x:v>https://github.com/ytdl-org/youtube-dl</x:v>
      </x:c>
      <x:c r="R71" s="4" t="str">
        <x:v>stars:&gt;=10000 fork:false archived:false</x:v>
      </x:c>
      <x:c r="S71" s="4" t="str">
        <x:v>https://api.github.com/search/repositories?q=stars%3A%3E%3D10000%20fork%3Afalse%20archived%3Afalse&amp;sort=stars&amp;order=desc&amp;per_page=100</x:v>
      </x:c>
    </x:row>
    <x:row r="72" ht="86" customHeight="1">
      <x:c r="A72" s="4" t="str">
        <x:v>microsoft/PowerToys</x:v>
      </x:c>
      <x:c r="B72" s="11" t="n">
        <x:v>138568</x:v>
      </x:c>
      <x:c r="C72" s="4" t="n">
        <x:v>2</x:v>
      </x:c>
      <x:c r="D72" s="4" t="str">
        <x:v>系统资源与原生互操作</x:v>
      </x:c>
      <x:c r="E72" s="4" t="str">
        <x:v>元数据已核验</x:v>
      </x:c>
      <x:c r="F72" s="4" t="n">
        <x:v>1</x:v>
      </x:c>
      <x:c r="G72" s="4" t="str">
        <x:v>软件项目</x:v>
      </x:c>
      <x:c r="H72" s="4" t="str">
        <x:v>原生/系统接口</x:v>
      </x:c>
      <x:c r="I72" s="4" t="str">
        <x:v>C</x:v>
      </x:c>
      <x:c r="J72" s="4" t="str">
        <x:v>Microsoft PowerToys is a collection of utilities that supercharge productivity and customization on Windows</x:v>
      </x:c>
      <x:c r="K72" s="4" t="n">
        <x:v>1</x:v>
      </x:c>
      <x:c r="L72" s="4" t="str">
        <x:v>global</x:v>
      </x:c>
      <x:c r="M72" s="4" t="str"/>
      <x:c r="N72" s="4" t="str">
        <x:v>MIT</x:v>
      </x:c>
      <x:c r="O72" s="12" t="n">
        <x:v>46277.17107027778</x:v>
      </x:c>
      <x:c r="P72" s="4" t="str">
        <x:v>GitHub REST Search API</x:v>
      </x:c>
      <x:c r="Q72" s="4" t="str">
        <x:v>https://github.com/microsoft/PowerToys</x:v>
      </x:c>
      <x:c r="R72" s="4" t="str">
        <x:v>stars:&gt;=10000 fork:false archived:false</x:v>
      </x:c>
      <x:c r="S72" s="4" t="str">
        <x:v>https://api.github.com/search/repositories?q=stars%3A%3E%3D10000%20fork%3Afalse%20archived%3Afalse&amp;sort=stars&amp;order=desc&amp;per_page=100</x:v>
      </x:c>
    </x:row>
    <x:row r="73" ht="86" customHeight="1">
      <x:c r="A73" s="4" t="str">
        <x:v>golang/go</x:v>
      </x:c>
      <x:c r="B73" s="11" t="n">
        <x:v>138425</x:v>
      </x:c>
      <x:c r="C73" s="4" t="n">
        <x:v>14</x:v>
      </x:c>
      <x:c r="D73" s="4" t="str">
        <x:v>软件构建、开发与测试</x:v>
      </x:c>
      <x:c r="E73" s="4" t="str">
        <x:v>元数据已核验</x:v>
      </x:c>
      <x:c r="F73" s="4" t="n">
        <x:v>1</x:v>
      </x:c>
      <x:c r="G73" s="4" t="str">
        <x:v>软件项目</x:v>
      </x:c>
      <x:c r="H73" s="4" t="str">
        <x:v>软件工程；编程Agent需额外挂13标签</x:v>
      </x:c>
      <x:c r="I73" s="4" t="str">
        <x:v>Go</x:v>
      </x:c>
      <x:c r="J73" s="4" t="str">
        <x:v>The Go programming language</x:v>
      </x:c>
      <x:c r="K73" s="4" t="n">
        <x:v>1</x:v>
      </x:c>
      <x:c r="L73" s="4" t="str">
        <x:v>global</x:v>
      </x:c>
      <x:c r="M73" s="4" t="str"/>
      <x:c r="N73" s="4" t="str">
        <x:v>BSD-3-Clause</x:v>
      </x:c>
      <x:c r="O73" s="12" t="n">
        <x:v>46277.17107027778</x:v>
      </x:c>
      <x:c r="P73" s="4" t="str">
        <x:v>GitHub REST Search API</x:v>
      </x:c>
      <x:c r="Q73" s="4" t="str">
        <x:v>https://github.com/golang/go</x:v>
      </x:c>
      <x:c r="R73" s="4" t="str">
        <x:v>stars:&gt;=10000 fork:false archived:false</x:v>
      </x:c>
      <x:c r="S73" s="4" t="str">
        <x:v>https://api.github.com/search/repositories?q=stars%3A%3E%3D10000%20fork%3Afalse%20archived%3Afalse&amp;sort=stars&amp;order=desc&amp;per_page=100</x:v>
      </x:c>
    </x:row>
    <x:row r="74" ht="86" customHeight="1">
      <x:c r="A74" s="4" t="str">
        <x:v>iptv-org/iptv</x:v>
      </x:c>
      <x:c r="B74" s="11" t="n">
        <x:v>138375</x:v>
      </x:c>
      <x:c r="C74" s="4"/>
      <x:c r="D74" s="4" t="str">
        <x:v>未归入15类</x:v>
      </x:c>
      <x:c r="E74" s="4" t="str">
        <x:v>范围排除</x:v>
      </x:c>
      <x:c r="F74" s="4" t="n">
        <x:v>0</x:v>
      </x:c>
      <x:c r="G74" s="4" t="str">
        <x:v>教程/资源/技能资产</x:v>
      </x:c>
      <x:c r="H74" s="4" t="str">
        <x:v>知识/数据资产</x:v>
      </x:c>
      <x:c r="I74" s="4" t="str">
        <x:v>TypeScript</x:v>
      </x:c>
      <x:c r="J74" s="4" t="str">
        <x:v>Collection of publicly available IPTV channels from all over the world</x:v>
      </x:c>
      <x:c r="K74" s="4" t="n">
        <x:v>1</x:v>
      </x:c>
      <x:c r="L74" s="4" t="str">
        <x:v>global</x:v>
      </x:c>
      <x:c r="M74" s="4" t="str"/>
      <x:c r="N74" s="4" t="str">
        <x:v>Unlicense</x:v>
      </x:c>
      <x:c r="O74" s="12" t="n">
        <x:v>46277.17107027778</x:v>
      </x:c>
      <x:c r="P74" s="4" t="str">
        <x:v>GitHub REST Search API</x:v>
      </x:c>
      <x:c r="Q74" s="4" t="str">
        <x:v>https://github.com/iptv-org/iptv</x:v>
      </x:c>
      <x:c r="R74" s="4" t="str">
        <x:v>stars:&gt;=10000 fork:false archived:false</x:v>
      </x:c>
      <x:c r="S74" s="4" t="str">
        <x:v>https://api.github.com/search/repositories?q=stars%3A%3E%3D10000%20fork%3Afalse%20archived%3Afalse&amp;sort=stars&amp;order=desc&amp;per_page=100</x:v>
      </x:c>
    </x:row>
    <x:row r="75" ht="86" customHeight="1">
      <x:c r="A75" s="4" t="str">
        <x:v>Shubhamsaboo/awesome-llm-apps</x:v>
      </x:c>
      <x:c r="B75" s="11" t="n">
        <x:v>137260</x:v>
      </x:c>
      <x:c r="C75" s="4"/>
      <x:c r="D75" s="4" t="str">
        <x:v>未归入15类</x:v>
      </x:c>
      <x:c r="E75" s="4" t="str">
        <x:v>范围排除</x:v>
      </x:c>
      <x:c r="F75" s="4" t="n">
        <x:v>0</x:v>
      </x:c>
      <x:c r="G75" s="4" t="str">
        <x:v>教程/资源/技能资产</x:v>
      </x:c>
      <x:c r="H75" s="4" t="str">
        <x:v>知识/数据资产</x:v>
      </x:c>
      <x:c r="I75" s="4" t="str">
        <x:v>Python</x:v>
      </x:c>
      <x:c r="J75" s="4" t="str">
        <x:v>100+ AI Agents, Agent Skills and RAG Apps - Free and Open Source.</x:v>
      </x:c>
      <x:c r="K75" s="4" t="n">
        <x:v>1</x:v>
      </x:c>
      <x:c r="L75" s="4" t="str">
        <x:v>global</x:v>
      </x:c>
      <x:c r="M75" s="4" t="str">
        <x:v>90、453</x:v>
      </x:c>
      <x:c r="N75" s="4" t="str">
        <x:v>Apache-2.0</x:v>
      </x:c>
      <x:c r="O75" s="12" t="n">
        <x:v>46277.17107027778</x:v>
      </x:c>
      <x:c r="P75" s="4" t="str">
        <x:v>GitHub REST Search API</x:v>
      </x:c>
      <x:c r="Q75" s="4" t="str">
        <x:v>https://github.com/Shubhamsaboo/awesome-llm-apps</x:v>
      </x:c>
      <x:c r="R75" s="4" t="str">
        <x:v>stars:&gt;=10000 fork:false archived:false</x:v>
      </x:c>
      <x:c r="S75" s="4" t="str">
        <x:v>https://api.github.com/search/repositories?q=stars%3A%3E%3D10000%20fork%3Afalse%20archived%3Afalse&amp;sort=stars&amp;order=desc&amp;per_page=100</x:v>
      </x:c>
    </x:row>
    <x:row r="76" ht="86" customHeight="1">
      <x:c r="A76" s="4" t="str">
        <x:v>ripienaar/free-for-dev</x:v>
      </x:c>
      <x:c r="B76" s="11" t="n">
        <x:v>137154</x:v>
      </x:c>
      <x:c r="C76" s="4"/>
      <x:c r="D76" s="4" t="str">
        <x:v>未归入15类</x:v>
      </x:c>
      <x:c r="E76" s="4" t="str">
        <x:v>范围排除</x:v>
      </x:c>
      <x:c r="F76" s="4" t="n">
        <x:v>0</x:v>
      </x:c>
      <x:c r="G76" s="4" t="str">
        <x:v>教程/资源/技能资产</x:v>
      </x:c>
      <x:c r="H76" s="4" t="str">
        <x:v>知识/数据资产</x:v>
      </x:c>
      <x:c r="I76" s="4" t="str">
        <x:v>HTML</x:v>
      </x:c>
      <x:c r="J76" s="4" t="str">
        <x:v>A list of SaaS, PaaS and IaaS offerings that have free tiers of interest to devops and infradev</x:v>
      </x:c>
      <x:c r="K76" s="4" t="n">
        <x:v>1</x:v>
      </x:c>
      <x:c r="L76" s="4" t="str">
        <x:v>global</x:v>
      </x:c>
      <x:c r="M76" s="4" t="str"/>
      <x:c r="N76" s="4" t="str">
        <x:v>未核验许可</x:v>
      </x:c>
      <x:c r="O76" s="12" t="n">
        <x:v>46277.17107027778</x:v>
      </x:c>
      <x:c r="P76" s="4" t="str">
        <x:v>GitHub REST Search API</x:v>
      </x:c>
      <x:c r="Q76" s="4" t="str">
        <x:v>https://github.com/ripienaar/free-for-dev</x:v>
      </x:c>
      <x:c r="R76" s="4" t="str">
        <x:v>stars:&gt;=10000 fork:false archived:false</x:v>
      </x:c>
      <x:c r="S76" s="4" t="str">
        <x:v>https://api.github.com/search/repositories?q=stars%3A%3E%3D10000%20fork%3Afalse%20archived%3Afalse&amp;sort=stars&amp;order=desc&amp;per_page=100</x:v>
      </x:c>
    </x:row>
    <x:row r="77" ht="86" customHeight="1">
      <x:c r="A77" s="4" t="str">
        <x:v>DietrichGebert/ponytail</x:v>
      </x:c>
      <x:c r="B77" s="11" t="n">
        <x:v>135922</x:v>
      </x:c>
      <x:c r="C77" s="4"/>
      <x:c r="D77" s="4" t="str">
        <x:v>未归入15类</x:v>
      </x:c>
      <x:c r="E77" s="4" t="str">
        <x:v>范围排除</x:v>
      </x:c>
      <x:c r="F77" s="4" t="n">
        <x:v>0</x:v>
      </x:c>
      <x:c r="G77" s="4" t="str">
        <x:v>教程/资源/技能资产</x:v>
      </x:c>
      <x:c r="H77" s="4" t="str">
        <x:v>知识/数据资产</x:v>
      </x:c>
      <x:c r="I77" s="4" t="str">
        <x:v>JavaScript</x:v>
      </x:c>
      <x:c r="J77" s="4" t="str">
        <x:v>Makes your AI agent think like the laziest senior dev in the room. The best code is the code you never wrote.</x:v>
      </x:c>
      <x:c r="K77" s="4" t="n">
        <x:v>1</x:v>
      </x:c>
      <x:c r="L77" s="4" t="str">
        <x:v>global</x:v>
      </x:c>
      <x:c r="M77" s="4" t="str">
        <x:v>35</x:v>
      </x:c>
      <x:c r="N77" s="4" t="str">
        <x:v>MIT</x:v>
      </x:c>
      <x:c r="O77" s="12" t="n">
        <x:v>46277.17107027778</x:v>
      </x:c>
      <x:c r="P77" s="4" t="str">
        <x:v>GitHub REST Search API</x:v>
      </x:c>
      <x:c r="Q77" s="4" t="str">
        <x:v>https://github.com/DietrichGebert/ponytail</x:v>
      </x:c>
      <x:c r="R77" s="4" t="str">
        <x:v>stars:&gt;=10000 fork:false archived:false</x:v>
      </x:c>
      <x:c r="S77" s="4" t="str">
        <x:v>https://api.github.com/search/repositories?q=stars%3A%3E%3D10000%20fork%3Afalse%20archived%3Afalse&amp;sort=stars&amp;order=desc&amp;per_page=100</x:v>
      </x:c>
    </x:row>
    <x:row r="78" ht="86" customHeight="1">
      <x:c r="A78" s="4" t="str">
        <x:v>labuladong/fucking-algorithm</x:v>
      </x:c>
      <x:c r="B78" s="11" t="n">
        <x:v>135857</x:v>
      </x:c>
      <x:c r="C78" s="4"/>
      <x:c r="D78" s="4" t="str">
        <x:v>未归入15类</x:v>
      </x:c>
      <x:c r="E78" s="4" t="str">
        <x:v>范围排除</x:v>
      </x:c>
      <x:c r="F78" s="4" t="n">
        <x:v>0</x:v>
      </x:c>
      <x:c r="G78" s="4" t="str">
        <x:v>教程/资源/技能资产</x:v>
      </x:c>
      <x:c r="H78" s="4" t="str">
        <x:v>知识/数据资产</x:v>
      </x:c>
      <x:c r="I78" s="4" t="str">
        <x:v>Markdown</x:v>
      </x:c>
      <x:c r="J78" s="4" t="str">
        <x:v>Crack LeetCode, not only how, but also why. </x:v>
      </x:c>
      <x:c r="K78" s="4" t="n">
        <x:v>1</x:v>
      </x:c>
      <x:c r="L78" s="4" t="str">
        <x:v>global</x:v>
      </x:c>
      <x:c r="M78" s="4" t="str"/>
      <x:c r="N78" s="4" t="str">
        <x:v>未核验许可</x:v>
      </x:c>
      <x:c r="O78" s="12" t="n">
        <x:v>46277.17107027778</x:v>
      </x:c>
      <x:c r="P78" s="4" t="str">
        <x:v>GitHub REST Search API</x:v>
      </x:c>
      <x:c r="Q78" s="4" t="str">
        <x:v>https://github.com/labuladong/fucking-algorithm</x:v>
      </x:c>
      <x:c r="R78" s="4" t="str">
        <x:v>stars:&gt;=10000 fork:false archived:false</x:v>
      </x:c>
      <x:c r="S78" s="4" t="str">
        <x:v>https://api.github.com/search/repositories?q=stars%3A%3E%3D10000%20fork%3Afalse%20archived%3Afalse&amp;sort=stars&amp;order=desc&amp;per_page=100</x:v>
      </x:c>
    </x:row>
    <x:row r="79" ht="86" customHeight="1">
      <x:c r="A79" s="4" t="str">
        <x:v>github/spec-kit</x:v>
      </x:c>
      <x:c r="B79" s="11" t="n">
        <x:v>135816</x:v>
      </x:c>
      <x:c r="C79" s="4" t="n">
        <x:v>14</x:v>
      </x:c>
      <x:c r="D79" s="4" t="str">
        <x:v>软件构建、开发与测试</x:v>
      </x:c>
      <x:c r="E79" s="4" t="str">
        <x:v>元数据已核验</x:v>
      </x:c>
      <x:c r="F79" s="4" t="n">
        <x:v>1</x:v>
      </x:c>
      <x:c r="G79" s="4" t="str">
        <x:v>软件项目</x:v>
      </x:c>
      <x:c r="H79" s="4" t="str">
        <x:v>软件工程；编程Agent需额外挂13标签</x:v>
      </x:c>
      <x:c r="I79" s="4" t="str">
        <x:v>Python</x:v>
      </x:c>
      <x:c r="J79" s="4" t="str">
        <x:v>💫 Toolkit to help you get started with Spec-Driven Development</x:v>
      </x:c>
      <x:c r="K79" s="4" t="n">
        <x:v>1</x:v>
      </x:c>
      <x:c r="L79" s="4" t="str">
        <x:v>global</x:v>
      </x:c>
      <x:c r="M79" s="4" t="str"/>
      <x:c r="N79" s="4" t="str">
        <x:v>MIT</x:v>
      </x:c>
      <x:c r="O79" s="12" t="n">
        <x:v>46277.17107027778</x:v>
      </x:c>
      <x:c r="P79" s="4" t="str">
        <x:v>GitHub REST Search API</x:v>
      </x:c>
      <x:c r="Q79" s="4" t="str">
        <x:v>https://github.com/github/spec-kit</x:v>
      </x:c>
      <x:c r="R79" s="4" t="str">
        <x:v>stars:&gt;=10000 fork:false archived:false</x:v>
      </x:c>
      <x:c r="S79" s="4" t="str">
        <x:v>https://api.github.com/search/repositories?q=stars%3A%3E%3D10000%20fork%3Afalse%20archived%3Afalse&amp;sort=stars&amp;order=desc&amp;per_page=100</x:v>
      </x:c>
    </x:row>
    <x:row r="80" ht="86" customHeight="1">
      <x:c r="A80" s="4" t="str">
        <x:v>garrytan/gstack</x:v>
      </x:c>
      <x:c r="B80" s="11" t="n">
        <x:v>132635</x:v>
      </x:c>
      <x:c r="C80" s="4"/>
      <x:c r="D80" s="4" t="str">
        <x:v>未归入15类</x:v>
      </x:c>
      <x:c r="E80" s="4" t="str">
        <x:v>范围排除</x:v>
      </x:c>
      <x:c r="F80" s="4" t="n">
        <x:v>0</x:v>
      </x:c>
      <x:c r="G80" s="4" t="str">
        <x:v>教程/资源/技能资产</x:v>
      </x:c>
      <x:c r="H80" s="4" t="str">
        <x:v>Agent资源（不等于运行时）</x:v>
      </x:c>
      <x:c r="I80" s="4" t="str">
        <x:v>TypeScript</x:v>
      </x:c>
      <x:c r="J80" s="4" t="str">
        <x:v>Use Garry Tan's exact Claude Code setup: 23 opinionated tools that serve as CEO, Designer, Eng Manager, Release Manager, Doc Engineer, and QA</x:v>
      </x:c>
      <x:c r="K80" s="4" t="n">
        <x:v>1</x:v>
      </x:c>
      <x:c r="L80" s="4" t="str">
        <x:v>global</x:v>
      </x:c>
      <x:c r="M80" s="4" t="str"/>
      <x:c r="N80" s="4" t="str">
        <x:v>MIT</x:v>
      </x:c>
      <x:c r="O80" s="12" t="n">
        <x:v>46277.17107027778</x:v>
      </x:c>
      <x:c r="P80" s="4" t="str">
        <x:v>GitHub REST Search API</x:v>
      </x:c>
      <x:c r="Q80" s="4" t="str">
        <x:v>https://github.com/garrytan/gstack</x:v>
      </x:c>
      <x:c r="R80" s="4" t="str">
        <x:v>stars:&gt;=10000 fork:false archived:false</x:v>
      </x:c>
      <x:c r="S80" s="4" t="str">
        <x:v>https://api.github.com/search/repositories?q=stars%3A%3E%3D10000%20fork%3Afalse%20archived%3Afalse&amp;sort=stars&amp;order=desc&amp;per_page=100</x:v>
      </x:c>
    </x:row>
    <x:row r="81" ht="86" customHeight="1">
      <x:c r="A81" s="4" t="str">
        <x:v>Comfy-Org/ComfyUI</x:v>
      </x:c>
      <x:c r="B81" s="11" t="n">
        <x:v>132620</x:v>
      </x:c>
      <x:c r="C81" s="4" t="n">
        <x:v>11</x:v>
      </x:c>
      <x:c r="D81" s="4" t="str">
        <x:v>AI模型与机器学习</x:v>
      </x:c>
      <x:c r="E81" s="4" t="str">
        <x:v>元数据已核验</x:v>
      </x:c>
      <x:c r="F81" s="4" t="n">
        <x:v>1</x:v>
      </x:c>
      <x:c r="G81" s="4" t="str">
        <x:v>软件项目</x:v>
      </x:c>
      <x:c r="H81" s="4" t="str">
        <x:v>AI模型/推理</x:v>
      </x:c>
      <x:c r="I81" s="4" t="str">
        <x:v>Python</x:v>
      </x:c>
      <x:c r="J81" s="4" t="str">
        <x:v>The most powerful and modular diffusion model GUI, api and backend with a graph/nodes interface.</x:v>
      </x:c>
      <x:c r="K81" s="4" t="n">
        <x:v>1</x:v>
      </x:c>
      <x:c r="L81" s="4" t="str">
        <x:v>06、07、global</x:v>
      </x:c>
      <x:c r="M81" s="4" t="str">
        <x:v>495</x:v>
      </x:c>
      <x:c r="N81" s="4" t="str">
        <x:v>GPL-3.0</x:v>
      </x:c>
      <x:c r="O81" s="12" t="n">
        <x:v>46277.17110724537</x:v>
      </x:c>
      <x:c r="P81" s="4" t="str">
        <x:v>GitHub REST Search API</x:v>
      </x:c>
      <x:c r="Q81" s="4" t="str">
        <x:v>https://github.com/Comfy-Org/ComfyUI</x:v>
      </x:c>
      <x:c r="R81" s="4" t="str">
        <x:v>backend in:name,description stars:&gt;=5000 fork:false archived:false
UI in:name,description stars:&gt;=5000 fork:false archived:false
stars:&gt;=10000 fork:false archived:false</x:v>
      </x:c>
      <x:c r="S81" s="4" t="str">
        <x:v>https://api.github.com/search/repositories?q=backend%20in%3Aname%2Cdescription%20stars%3A%3E%3D5000%20fork%3Afalse%20archived%3Afalse&amp;sort=stars&amp;order=desc&amp;per_page=5</x:v>
      </x:c>
    </x:row>
    <x:row r="82" ht="86" customHeight="1">
      <x:c r="A82" s="4" t="str">
        <x:v>farion1231/cc-switch</x:v>
      </x:c>
      <x:c r="B82" s="11" t="n">
        <x:v>132395</x:v>
      </x:c>
      <x:c r="C82" s="4" t="n">
        <x:v>14</x:v>
      </x:c>
      <x:c r="D82" s="4" t="str">
        <x:v>软件构建、开发与测试</x:v>
      </x:c>
      <x:c r="E82" s="4" t="str">
        <x:v>元数据已核验</x:v>
      </x:c>
      <x:c r="F82" s="4" t="n">
        <x:v>1</x:v>
      </x:c>
      <x:c r="G82" s="4" t="str">
        <x:v>软件项目</x:v>
      </x:c>
      <x:c r="H82" s="4" t="str">
        <x:v>软件工程；编程Agent需额外挂13标签</x:v>
      </x:c>
      <x:c r="I82" s="4" t="str">
        <x:v>Rust</x:v>
      </x:c>
      <x:c r="J82" s="4" t="str">
        <x:v>A cross-platform desktop All-in-One assistant for Claude Code, Codex, OpenCode, OpenClaw, Grok Build &amp; Hermes Agent. Only official website: ccswitch.io</x:v>
      </x:c>
      <x:c r="K82" s="4" t="n">
        <x:v>1</x:v>
      </x:c>
      <x:c r="L82" s="4" t="str">
        <x:v>global</x:v>
      </x:c>
      <x:c r="M82" s="4" t="str">
        <x:v>206</x:v>
      </x:c>
      <x:c r="N82" s="4" t="str">
        <x:v>MIT</x:v>
      </x:c>
      <x:c r="O82" s="12" t="n">
        <x:v>46277.17107027778</x:v>
      </x:c>
      <x:c r="P82" s="4" t="str">
        <x:v>GitHub REST Search API</x:v>
      </x:c>
      <x:c r="Q82" s="4" t="str">
        <x:v>https://github.com/farion1231/cc-switch</x:v>
      </x:c>
      <x:c r="R82" s="4" t="str">
        <x:v>stars:&gt;=10000 fork:false archived:false</x:v>
      </x:c>
      <x:c r="S82" s="4" t="str">
        <x:v>https://api.github.com/search/repositories?q=stars%3A%3E%3D10000%20fork%3Afalse%20archived%3Afalse&amp;sort=stars&amp;order=desc&amp;per_page=100</x:v>
      </x:c>
    </x:row>
    <x:row r="83" ht="86" customHeight="1">
      <x:c r="A83" s="4" t="str">
        <x:v>excalidraw/excalidraw</x:v>
      </x:c>
      <x:c r="B83" s="11" t="n">
        <x:v>131633</x:v>
      </x:c>
      <x:c r="C83" s="4" t="n">
        <x:v>9</x:v>
      </x:c>
      <x:c r="D83" s="4" t="str">
        <x:v>图形、多媒体与实时应用</x:v>
      </x:c>
      <x:c r="E83" s="4" t="str">
        <x:v>元数据已核验</x:v>
      </x:c>
      <x:c r="F83" s="4" t="n">
        <x:v>1</x:v>
      </x:c>
      <x:c r="G83" s="4" t="str">
        <x:v>软件项目</x:v>
      </x:c>
      <x:c r="H83" s="4" t="str">
        <x:v>媒体/图形</x:v>
      </x:c>
      <x:c r="I83" s="4" t="str">
        <x:v>TypeScript</x:v>
      </x:c>
      <x:c r="J83" s="4" t="str">
        <x:v>Virtual whiteboard for sketching hand-drawn like diagrams</x:v>
      </x:c>
      <x:c r="K83" s="4" t="n">
        <x:v>1</x:v>
      </x:c>
      <x:c r="L83" s="4" t="str">
        <x:v>global</x:v>
      </x:c>
      <x:c r="M83" s="4" t="str"/>
      <x:c r="N83" s="4" t="str">
        <x:v>MIT</x:v>
      </x:c>
      <x:c r="O83" s="12" t="n">
        <x:v>46277.17107027778</x:v>
      </x:c>
      <x:c r="P83" s="4" t="str">
        <x:v>GitHub REST Search API</x:v>
      </x:c>
      <x:c r="Q83" s="4" t="str">
        <x:v>https://github.com/excalidraw/excalidraw</x:v>
      </x:c>
      <x:c r="R83" s="4" t="str">
        <x:v>stars:&gt;=10000 fork:false archived:false</x:v>
      </x:c>
      <x:c r="S83" s="4" t="str">
        <x:v>https://api.github.com/search/repositories?q=stars%3A%3E%3D10000%20fork%3Afalse%20archived%3Afalse&amp;sort=stars&amp;order=desc&amp;per_page=100</x:v>
      </x:c>
    </x:row>
    <x:row r="84" ht="86" customHeight="1">
      <x:c r="A84" s="4" t="str">
        <x:v>krahets/hello-algo</x:v>
      </x:c>
      <x:c r="B84" s="11" t="n">
        <x:v>130020</x:v>
      </x:c>
      <x:c r="C84" s="4"/>
      <x:c r="D84" s="4" t="str">
        <x:v>未归入15类</x:v>
      </x:c>
      <x:c r="E84" s="4" t="str">
        <x:v>范围排除</x:v>
      </x:c>
      <x:c r="F84" s="4" t="n">
        <x:v>0</x:v>
      </x:c>
      <x:c r="G84" s="4" t="str">
        <x:v>教程/资源/技能资产</x:v>
      </x:c>
      <x:c r="H84" s="4" t="str">
        <x:v>知识/数据资产</x:v>
      </x:c>
      <x:c r="I84" s="4" t="str">
        <x:v>Java</x:v>
      </x:c>
      <x:c r="J84" s="4" t="str">
        <x:v>《Hello 算法》：动画图解、一键运行的数据结构与算法教程。支持简中、繁中、English、日本語，提供 Python, Java, C++, C, C#, JS, Go, Swift, Rust, Ruby, Kotlin, TS, Dart 等代码实现</x:v>
      </x:c>
      <x:c r="K84" s="4" t="n">
        <x:v>1</x:v>
      </x:c>
      <x:c r="L84" s="4" t="str">
        <x:v>global</x:v>
      </x:c>
      <x:c r="M84" s="4" t="str">
        <x:v>267、545</x:v>
      </x:c>
      <x:c r="N84" s="4" t="str">
        <x:v>NOASSERTION</x:v>
      </x:c>
      <x:c r="O84" s="12" t="n">
        <x:v>46277.17107027778</x:v>
      </x:c>
      <x:c r="P84" s="4" t="str">
        <x:v>GitHub REST Search API</x:v>
      </x:c>
      <x:c r="Q84" s="4" t="str">
        <x:v>https://github.com/krahets/hello-algo</x:v>
      </x:c>
      <x:c r="R84" s="4" t="str">
        <x:v>stars:&gt;=10000 fork:false archived:false</x:v>
      </x:c>
      <x:c r="S84" s="4" t="str">
        <x:v>https://api.github.com/search/repositories?q=stars%3A%3E%3D10000%20fork%3Afalse%20archived%3Afalse&amp;sort=stars&amp;order=desc&amp;per_page=100</x:v>
      </x:c>
    </x:row>
    <x:row r="85" ht="86" customHeight="1">
      <x:c r="A85" s="4" t="str">
        <x:v>Chalarangelo/30-seconds-of-code</x:v>
      </x:c>
      <x:c r="B85" s="11" t="n">
        <x:v>129048</x:v>
      </x:c>
      <x:c r="C85" s="4"/>
      <x:c r="D85" s="4" t="str">
        <x:v>未归入15类</x:v>
      </x:c>
      <x:c r="E85" s="4" t="str">
        <x:v>范围排除</x:v>
      </x:c>
      <x:c r="F85" s="4" t="n">
        <x:v>0</x:v>
      </x:c>
      <x:c r="G85" s="4" t="str">
        <x:v>教程/资源/技能资产</x:v>
      </x:c>
      <x:c r="H85" s="4" t="str">
        <x:v>知识/数据资产</x:v>
      </x:c>
      <x:c r="I85" s="4" t="str">
        <x:v>JavaScript</x:v>
      </x:c>
      <x:c r="J85" s="4" t="str">
        <x:v>Coding articles to level up your development skills</x:v>
      </x:c>
      <x:c r="K85" s="4" t="n">
        <x:v>1</x:v>
      </x:c>
      <x:c r="L85" s="4" t="str">
        <x:v>global</x:v>
      </x:c>
      <x:c r="M85" s="4" t="str"/>
      <x:c r="N85" s="4" t="str">
        <x:v>CC-BY-4.0</x:v>
      </x:c>
      <x:c r="O85" s="12" t="n">
        <x:v>46277.17107027778</x:v>
      </x:c>
      <x:c r="P85" s="4" t="str">
        <x:v>GitHub REST Search API</x:v>
      </x:c>
      <x:c r="Q85" s="4" t="str">
        <x:v>https://github.com/Chalarangelo/30-seconds-of-code</x:v>
      </x:c>
      <x:c r="R85" s="4" t="str">
        <x:v>stars:&gt;=10000 fork:false archived:false</x:v>
      </x:c>
      <x:c r="S85" s="4" t="str">
        <x:v>https://api.github.com/search/repositories?q=stars%3A%3E%3D10000%20fork%3Afalse%20archived%3Afalse&amp;sort=stars&amp;order=desc&amp;per_page=100</x:v>
      </x:c>
    </x:row>
    <x:row r="86" ht="86" customHeight="1">
      <x:c r="A86" s="4" t="str">
        <x:v>ggml-org/llama.cpp</x:v>
      </x:c>
      <x:c r="B86" s="11" t="n">
        <x:v>127911</x:v>
      </x:c>
      <x:c r="C86" s="4" t="n">
        <x:v>11</x:v>
      </x:c>
      <x:c r="D86" s="4" t="str">
        <x:v>AI模型与机器学习</x:v>
      </x:c>
      <x:c r="E86" s="4" t="str">
        <x:v>元数据已核验</x:v>
      </x:c>
      <x:c r="F86" s="4" t="n">
        <x:v>1</x:v>
      </x:c>
      <x:c r="G86" s="4" t="str">
        <x:v>软件项目</x:v>
      </x:c>
      <x:c r="H86" s="4" t="str">
        <x:v>AI模型/推理</x:v>
      </x:c>
      <x:c r="I86" s="4" t="str">
        <x:v>C++</x:v>
      </x:c>
      <x:c r="J86" s="4" t="str">
        <x:v>LLM inference in C/C++</x:v>
      </x:c>
      <x:c r="K86" s="4" t="n">
        <x:v>1</x:v>
      </x:c>
      <x:c r="L86" s="4" t="str">
        <x:v>global</x:v>
      </x:c>
      <x:c r="M86" s="4" t="str"/>
      <x:c r="N86" s="4" t="str">
        <x:v>MIT</x:v>
      </x:c>
      <x:c r="O86" s="12" t="n">
        <x:v>46277.17107027778</x:v>
      </x:c>
      <x:c r="P86" s="4" t="str">
        <x:v>GitHub REST Search API</x:v>
      </x:c>
      <x:c r="Q86" s="4" t="str">
        <x:v>https://github.com/ggml-org/llama.cpp</x:v>
      </x:c>
      <x:c r="R86" s="4" t="str">
        <x:v>stars:&gt;=10000 fork:false archived:false</x:v>
      </x:c>
      <x:c r="S86" s="4" t="str">
        <x:v>https://api.github.com/search/repositories?q=stars%3A%3E%3D10000%20fork%3Afalse%20archived%3Afalse&amp;sort=stars&amp;order=desc&amp;per_page=100</x:v>
      </x:c>
    </x:row>
    <x:row r="87" ht="86" customHeight="1">
      <x:c r="A87" s="4" t="str">
        <x:v>kubernetes/kubernetes</x:v>
      </x:c>
      <x:c r="B87" s="11" t="n">
        <x:v>127353</x:v>
      </x:c>
      <x:c r="C87" s="4" t="n">
        <x:v>15</x:v>
      </x:c>
      <x:c r="D87" s="4" t="str">
        <x:v>部署运维与可观测性</x:v>
      </x:c>
      <x:c r="E87" s="4" t="str">
        <x:v>元数据已核验</x:v>
      </x:c>
      <x:c r="F87" s="4" t="n">
        <x:v>1</x:v>
      </x:c>
      <x:c r="G87" s="4" t="str">
        <x:v>软件项目</x:v>
      </x:c>
      <x:c r="H87" s="4" t="str">
        <x:v>运维/可观测性</x:v>
      </x:c>
      <x:c r="I87" s="4" t="str">
        <x:v>Go</x:v>
      </x:c>
      <x:c r="J87" s="4" t="str">
        <x:v>Production-Grade Container Scheduling and Management</x:v>
      </x:c>
      <x:c r="K87" s="4" t="n">
        <x:v>1</x:v>
      </x:c>
      <x:c r="L87" s="4" t="str">
        <x:v>global</x:v>
      </x:c>
      <x:c r="M87" s="4" t="str"/>
      <x:c r="N87" s="4" t="str">
        <x:v>Apache-2.0</x:v>
      </x:c>
      <x:c r="O87" s="12" t="n">
        <x:v>46277.17107027778</x:v>
      </x:c>
      <x:c r="P87" s="4" t="str">
        <x:v>GitHub REST Search API</x:v>
      </x:c>
      <x:c r="Q87" s="4" t="str">
        <x:v>https://github.com/kubernetes/kubernetes</x:v>
      </x:c>
      <x:c r="R87" s="4" t="str">
        <x:v>stars:&gt;=10000 fork:false archived:false</x:v>
      </x:c>
      <x:c r="S87" s="4" t="str">
        <x:v>https://api.github.com/search/repositories?q=stars%3A%3E%3D10000%20fork%3Afalse%20archived%3Afalse&amp;sort=stars&amp;order=desc&amp;per_page=100</x:v>
      </x:c>
    </x:row>
    <x:row r="88" ht="86" customHeight="1">
      <x:c r="A88" s="4" t="str">
        <x:v>nextlevelbuilder/ui-ux-pro-max-skill</x:v>
      </x:c>
      <x:c r="B88" s="11" t="n">
        <x:v>126950</x:v>
      </x:c>
      <x:c r="C88" s="4"/>
      <x:c r="D88" s="4" t="str">
        <x:v>未归入15类</x:v>
      </x:c>
      <x:c r="E88" s="4" t="str">
        <x:v>范围排除</x:v>
      </x:c>
      <x:c r="F88" s="4" t="n">
        <x:v>0</x:v>
      </x:c>
      <x:c r="G88" s="4" t="str">
        <x:v>教程/资源/技能资产</x:v>
      </x:c>
      <x:c r="H88" s="4" t="str">
        <x:v>Agent资源（不等于运行时）</x:v>
      </x:c>
      <x:c r="I88" s="4" t="str">
        <x:v>Python</x:v>
      </x:c>
      <x:c r="J88" s="4" t="str">
        <x:v>An AI skill that provides design intelligence for building professional UI/UX across multiple platforms.</x:v>
      </x:c>
      <x:c r="K88" s="4" t="n">
        <x:v>1</x:v>
      </x:c>
      <x:c r="L88" s="4" t="str">
        <x:v>07、global</x:v>
      </x:c>
      <x:c r="M88" s="4" t="str"/>
      <x:c r="N88" s="4" t="str">
        <x:v>MIT</x:v>
      </x:c>
      <x:c r="O88" s="12" t="n">
        <x:v>46277.17111368055</x:v>
      </x:c>
      <x:c r="P88" s="4" t="str">
        <x:v>GitHub REST Search API</x:v>
      </x:c>
      <x:c r="Q88" s="4" t="str">
        <x:v>https://github.com/nextlevelbuilder/ui-ux-pro-max-skill</x:v>
      </x:c>
      <x:c r="R88" s="4" t="str">
        <x:v>UI in:name,description stars:&gt;=5000 fork:false archived:false
stars:&gt;=10000 fork:false archived:false</x:v>
      </x:c>
      <x:c r="S88" s="4" t="str">
        <x:v>https://api.github.com/search/repositories?q=UI%20in%3Aname%2Cdescription%20stars%3A%3E%3D5000%20fork%3Afalse%20archived%3Afalse&amp;sort=stars&amp;order=desc&amp;per_page=5</x:v>
      </x:c>
    </x:row>
    <x:row r="89" ht="86" customHeight="1">
      <x:c r="A89" s="4" t="str">
        <x:v>react/react-native</x:v>
      </x:c>
      <x:c r="B89" s="11" t="n">
        <x:v>126559</x:v>
      </x:c>
      <x:c r="C89" s="4" t="n">
        <x:v>7</x:v>
      </x:c>
      <x:c r="D89" s="4" t="str">
        <x:v>用户界面与交互</x:v>
      </x:c>
      <x:c r="E89" s="4" t="str">
        <x:v>元数据已核验</x:v>
      </x:c>
      <x:c r="F89" s="4" t="n">
        <x:v>1</x:v>
      </x:c>
      <x:c r="G89" s="4" t="str">
        <x:v>软件项目</x:v>
      </x:c>
      <x:c r="H89" s="4" t="str">
        <x:v>UI框架</x:v>
      </x:c>
      <x:c r="I89" s="4" t="str">
        <x:v>C++</x:v>
      </x:c>
      <x:c r="J89" s="4" t="str">
        <x:v>A framework for building native applications using React</x:v>
      </x:c>
      <x:c r="K89" s="4" t="n">
        <x:v>1</x:v>
      </x:c>
      <x:c r="L89" s="4" t="str">
        <x:v>global</x:v>
      </x:c>
      <x:c r="M89" s="4" t="str"/>
      <x:c r="N89" s="4" t="str">
        <x:v>MIT</x:v>
      </x:c>
      <x:c r="O89" s="12" t="n">
        <x:v>46277.17107027778</x:v>
      </x:c>
      <x:c r="P89" s="4" t="str">
        <x:v>GitHub REST Search API</x:v>
      </x:c>
      <x:c r="Q89" s="4" t="str">
        <x:v>https://github.com/react/react-native</x:v>
      </x:c>
      <x:c r="R89" s="4" t="str">
        <x:v>stars:&gt;=10000 fork:false archived:false</x:v>
      </x:c>
      <x:c r="S89" s="4" t="str">
        <x:v>https://api.github.com/search/repositories?q=stars%3A%3E%3D10000%20fork%3Afalse%20archived%3Afalse&amp;sort=stars&amp;order=desc&amp;per_page=100</x:v>
      </x:c>
    </x:row>
    <x:row r="90" ht="86" customHeight="1">
      <x:c r="A90" s="4" t="str">
        <x:v>shadcn-ui/ui</x:v>
      </x:c>
      <x:c r="B90" s="11" t="n">
        <x:v>123597</x:v>
      </x:c>
      <x:c r="C90" s="4" t="n">
        <x:v>7</x:v>
      </x:c>
      <x:c r="D90" s="4" t="str">
        <x:v>用户界面与交互</x:v>
      </x:c>
      <x:c r="E90" s="4" t="str">
        <x:v>元数据已核验</x:v>
      </x:c>
      <x:c r="F90" s="4" t="n">
        <x:v>1</x:v>
      </x:c>
      <x:c r="G90" s="4" t="str">
        <x:v>软件项目</x:v>
      </x:c>
      <x:c r="H90" s="4" t="str">
        <x:v>UI框架</x:v>
      </x:c>
      <x:c r="I90" s="4" t="str">
        <x:v>TypeScript</x:v>
      </x:c>
      <x:c r="J90" s="4" t="str">
        <x:v>A set of beautifully-designed, accessible components and a code distribution platform. Works with your favorite frameworks. Open Source. Open Code.</x:v>
      </x:c>
      <x:c r="K90" s="4" t="n">
        <x:v>1</x:v>
      </x:c>
      <x:c r="L90" s="4" t="str">
        <x:v>07、global</x:v>
      </x:c>
      <x:c r="M90" s="4" t="str"/>
      <x:c r="N90" s="4" t="str">
        <x:v>MIT</x:v>
      </x:c>
      <x:c r="O90" s="12" t="n">
        <x:v>46277.17111368055</x:v>
      </x:c>
      <x:c r="P90" s="4" t="str">
        <x:v>GitHub REST Search API</x:v>
      </x:c>
      <x:c r="Q90" s="4" t="str">
        <x:v>https://github.com/shadcn-ui/ui</x:v>
      </x:c>
      <x:c r="R90" s="4" t="str">
        <x:v>UI in:name,description stars:&gt;=5000 fork:false archived:false
stars:&gt;=10000 fork:false archived:false</x:v>
      </x:c>
      <x:c r="S90" s="4" t="str">
        <x:v>https://api.github.com/search/repositories?q=UI%20in%3Aname%2Cdescription%20stars%3A%3E%3D5000%20fork%3Afalse%20archived%3Afalse&amp;sort=stars&amp;order=desc&amp;per_page=5</x:v>
      </x:c>
    </x:row>
    <x:row r="91" ht="86" customHeight="1">
      <x:c r="A91" s="4" t="str">
        <x:v>openai/codex</x:v>
      </x:c>
      <x:c r="B91" s="11" t="n">
        <x:v>123444</x:v>
      </x:c>
      <x:c r="C91" s="4" t="n">
        <x:v>14</x:v>
      </x:c>
      <x:c r="D91" s="4" t="str">
        <x:v>软件构建、开发与测试</x:v>
      </x:c>
      <x:c r="E91" s="4" t="str">
        <x:v>元数据已核验</x:v>
      </x:c>
      <x:c r="F91" s="4" t="n">
        <x:v>1</x:v>
      </x:c>
      <x:c r="G91" s="4" t="str">
        <x:v>软件项目</x:v>
      </x:c>
      <x:c r="H91" s="4" t="str">
        <x:v>软件工程；编程Agent需额外挂13标签</x:v>
      </x:c>
      <x:c r="I91" s="4" t="str">
        <x:v>Rust</x:v>
      </x:c>
      <x:c r="J91" s="4" t="str">
        <x:v>Lightweight coding agent that runs in your terminal</x:v>
      </x:c>
      <x:c r="K91" s="4" t="n">
        <x:v>1</x:v>
      </x:c>
      <x:c r="L91" s="4" t="str">
        <x:v>global</x:v>
      </x:c>
      <x:c r="M91" s="4" t="str">
        <x:v>327</x:v>
      </x:c>
      <x:c r="N91" s="4" t="str">
        <x:v>Apache-2.0</x:v>
      </x:c>
      <x:c r="O91" s="12" t="n">
        <x:v>46277.17107027778</x:v>
      </x:c>
      <x:c r="P91" s="4" t="str">
        <x:v>GitHub REST Search API</x:v>
      </x:c>
      <x:c r="Q91" s="4" t="str">
        <x:v>https://github.com/openai/codex</x:v>
      </x:c>
      <x:c r="R91" s="4" t="str">
        <x:v>stars:&gt;=10000 fork:false archived:false</x:v>
      </x:c>
      <x:c r="S91" s="4" t="str">
        <x:v>https://api.github.com/search/repositories?q=stars%3A%3E%3D10000%20fork%3Afalse%20archived%3Afalse&amp;sort=stars&amp;order=desc&amp;per_page=100</x:v>
      </x:c>
    </x:row>
    <x:row r="92" ht="86" customHeight="1">
      <x:c r="A92" s="4" t="str">
        <x:v>rustdesk/rustdesk</x:v>
      </x:c>
      <x:c r="B92" s="11" t="n">
        <x:v>123212</x:v>
      </x:c>
      <x:c r="C92" s="4" t="n">
        <x:v>12</x:v>
      </x:c>
      <x:c r="D92" s="4" t="str">
        <x:v>办公软件与桌面操作自动化</x:v>
      </x:c>
      <x:c r="E92" s="4" t="str">
        <x:v>元数据已核验</x:v>
      </x:c>
      <x:c r="F92" s="4" t="n">
        <x:v>1</x:v>
      </x:c>
      <x:c r="G92" s="4" t="str">
        <x:v>软件项目</x:v>
      </x:c>
      <x:c r="H92" s="4" t="str">
        <x:v>办公/浏览器执行</x:v>
      </x:c>
      <x:c r="I92" s="4" t="str">
        <x:v>Rust</x:v>
      </x:c>
      <x:c r="J92" s="4" t="str">
        <x:v>An open-source remote desktop application designed for self-hosting, as an alternative to TeamViewer.</x:v>
      </x:c>
      <x:c r="K92" s="4" t="n">
        <x:v>1</x:v>
      </x:c>
      <x:c r="L92" s="4" t="str">
        <x:v>global</x:v>
      </x:c>
      <x:c r="M92" s="4" t="str"/>
      <x:c r="N92" s="4" t="str">
        <x:v>AGPL-3.0</x:v>
      </x:c>
      <x:c r="O92" s="12" t="n">
        <x:v>46277.17107027778</x:v>
      </x:c>
      <x:c r="P92" s="4" t="str">
        <x:v>GitHub REST Search API</x:v>
      </x:c>
      <x:c r="Q92" s="4" t="str">
        <x:v>https://github.com/rustdesk/rustdesk</x:v>
      </x:c>
      <x:c r="R92" s="4" t="str">
        <x:v>stars:&gt;=10000 fork:false archived:false</x:v>
      </x:c>
      <x:c r="S92" s="4" t="str">
        <x:v>https://api.github.com/search/repositories?q=stars%3A%3E%3D10000%20fork%3Afalse%20archived%3Afalse&amp;sort=stars&amp;order=desc&amp;per_page=100</x:v>
      </x:c>
    </x:row>
    <x:row r="93" ht="86" customHeight="1">
      <x:c r="A93" s="4" t="str">
        <x:v>electron/electron</x:v>
      </x:c>
      <x:c r="B93" s="11" t="n">
        <x:v>123001</x:v>
      </x:c>
      <x:c r="C93" s="4" t="n">
        <x:v>7</x:v>
      </x:c>
      <x:c r="D93" s="4" t="str">
        <x:v>用户界面与交互</x:v>
      </x:c>
      <x:c r="E93" s="4" t="str">
        <x:v>元数据已核验</x:v>
      </x:c>
      <x:c r="F93" s="4" t="n">
        <x:v>1</x:v>
      </x:c>
      <x:c r="G93" s="4" t="str">
        <x:v>软件项目</x:v>
      </x:c>
      <x:c r="H93" s="4" t="str">
        <x:v>UI框架</x:v>
      </x:c>
      <x:c r="I93" s="4" t="str">
        <x:v>C++</x:v>
      </x:c>
      <x:c r="J93" s="4" t="str">
        <x:v>:electron: Build cross-platform desktop apps with JavaScript, HTML, and CSS</x:v>
      </x:c>
      <x:c r="K93" s="4" t="n">
        <x:v>1</x:v>
      </x:c>
      <x:c r="L93" s="4" t="str">
        <x:v>global</x:v>
      </x:c>
      <x:c r="M93" s="4" t="str"/>
      <x:c r="N93" s="4" t="str">
        <x:v>MIT</x:v>
      </x:c>
      <x:c r="O93" s="12" t="n">
        <x:v>46277.17107027778</x:v>
      </x:c>
      <x:c r="P93" s="4" t="str">
        <x:v>GitHub REST Search API</x:v>
      </x:c>
      <x:c r="Q93" s="4" t="str">
        <x:v>https://github.com/electron/electron</x:v>
      </x:c>
      <x:c r="R93" s="4" t="str">
        <x:v>stars:&gt;=10000 fork:false archived:false</x:v>
      </x:c>
      <x:c r="S93" s="4" t="str">
        <x:v>https://api.github.com/search/repositories?q=stars%3A%3E%3D10000%20fork%3Afalse%20archived%3Afalse&amp;sort=stars&amp;order=desc&amp;per_page=100</x:v>
      </x:c>
    </x:row>
    <x:row r="94" ht="86" customHeight="1">
      <x:c r="A94" s="4" t="str">
        <x:v>harry0703/MoneyPrinterTurbo</x:v>
      </x:c>
      <x:c r="B94" s="11" t="n">
        <x:v>122557</x:v>
      </x:c>
      <x:c r="C94" s="4" t="n">
        <x:v>9</x:v>
      </x:c>
      <x:c r="D94" s="4" t="str">
        <x:v>图形、多媒体与实时应用</x:v>
      </x:c>
      <x:c r="E94" s="4" t="str">
        <x:v>元数据已核验</x:v>
      </x:c>
      <x:c r="F94" s="4" t="n">
        <x:v>1</x:v>
      </x:c>
      <x:c r="G94" s="4" t="str">
        <x:v>软件项目</x:v>
      </x:c>
      <x:c r="H94" s="4" t="str">
        <x:v>媒体/图形</x:v>
      </x:c>
      <x:c r="I94" s="4" t="str">
        <x:v>Python</x:v>
      </x:c>
      <x:c r="J94" s="4" t="str">
        <x:v>利用 AI 大模型和自动化工作流，根据主题或关键词一键生成高清短视频。Generate HD short videos from a topic or keyword with an automated AI workflow.</x:v>
      </x:c>
      <x:c r="K94" s="4" t="n">
        <x:v>1</x:v>
      </x:c>
      <x:c r="L94" s="4" t="str">
        <x:v>global</x:v>
      </x:c>
      <x:c r="M94" s="4" t="str">
        <x:v>232</x:v>
      </x:c>
      <x:c r="N94" s="4" t="str">
        <x:v>MIT</x:v>
      </x:c>
      <x:c r="O94" s="12" t="n">
        <x:v>46277.17107027778</x:v>
      </x:c>
      <x:c r="P94" s="4" t="str">
        <x:v>GitHub REST Search API</x:v>
      </x:c>
      <x:c r="Q94" s="4" t="str">
        <x:v>https://github.com/harry0703/MoneyPrinterTurbo</x:v>
      </x:c>
      <x:c r="R94" s="4" t="str">
        <x:v>stars:&gt;=10000 fork:false archived:false</x:v>
      </x:c>
      <x:c r="S94" s="4" t="str">
        <x:v>https://api.github.com/search/repositories?q=stars%3A%3E%3D10000%20fork%3Afalse%20archived%3Afalse&amp;sort=stars&amp;order=desc&amp;per_page=100</x:v>
      </x:c>
    </x:row>
    <x:row r="95" ht="86" customHeight="1">
      <x:c r="A95" s="4" t="str">
        <x:v>nodejs/node</x:v>
      </x:c>
      <x:c r="B95" s="11" t="n">
        <x:v>121593</x:v>
      </x:c>
      <x:c r="C95" s="4" t="n">
        <x:v>2</x:v>
      </x:c>
      <x:c r="D95" s="4" t="str">
        <x:v>系统资源与原生互操作</x:v>
      </x:c>
      <x:c r="E95" s="4" t="str">
        <x:v>元数据已核验</x:v>
      </x:c>
      <x:c r="F95" s="4" t="n">
        <x:v>1</x:v>
      </x:c>
      <x:c r="G95" s="4" t="str">
        <x:v>软件项目</x:v>
      </x:c>
      <x:c r="H95" s="4" t="str">
        <x:v>原生/系统接口</x:v>
      </x:c>
      <x:c r="I95" s="4" t="str">
        <x:v>JavaScript</x:v>
      </x:c>
      <x:c r="J95" s="4" t="str">
        <x:v>Node.js JavaScript runtime ✨🐢🚀✨</x:v>
      </x:c>
      <x:c r="K95" s="4" t="n">
        <x:v>1</x:v>
      </x:c>
      <x:c r="L95" s="4" t="str">
        <x:v>02、global</x:v>
      </x:c>
      <x:c r="M95" s="4" t="str"/>
      <x:c r="N95" s="4" t="str">
        <x:v>NOASSERTION</x:v>
      </x:c>
      <x:c r="O95" s="12" t="n">
        <x:v>46277.17108263889</x:v>
      </x:c>
      <x:c r="P95" s="4" t="str">
        <x:v>GitHub REST Search API</x:v>
      </x:c>
      <x:c r="Q95" s="4" t="str">
        <x:v>https://github.com/nodejs/node</x:v>
      </x:c>
      <x:c r="R95" s="4" t="str">
        <x:v>runtime in:name,description stars:&gt;=5000 fork:false archived:false
stars:&gt;=10000 fork:false archived:false</x:v>
      </x:c>
      <x:c r="S95" s="4" t="str">
        <x:v>https://api.github.com/search/repositories?q=runtime%20in%3Aname%2Cdescription%20stars%3A%3E%3D5000%20fork%3Afalse%20archived%3Afalse&amp;sort=stars&amp;order=desc&amp;per_page=5</x:v>
      </x:c>
    </x:row>
    <x:row r="96" ht="86" customHeight="1">
      <x:c r="A96" s="4" t="str">
        <x:v>Hack-with-Github/Awesome-Hacking</x:v>
      </x:c>
      <x:c r="B96" s="11" t="n">
        <x:v>120184</x:v>
      </x:c>
      <x:c r="C96" s="4"/>
      <x:c r="D96" s="4" t="str">
        <x:v>未归入15类</x:v>
      </x:c>
      <x:c r="E96" s="4" t="str">
        <x:v>范围排除</x:v>
      </x:c>
      <x:c r="F96" s="4" t="n">
        <x:v>0</x:v>
      </x:c>
      <x:c r="G96" s="4" t="str">
        <x:v>教程/资源/技能资产</x:v>
      </x:c>
      <x:c r="H96" s="4" t="str">
        <x:v>知识/数据资产</x:v>
      </x:c>
      <x:c r="I96" s="4" t="str">
        <x:v>未获取/未识别</x:v>
      </x:c>
      <x:c r="J96" s="4" t="str">
        <x:v>A collection of various awesome lists for hackers, pentesters and security researchers</x:v>
      </x:c>
      <x:c r="K96" s="4" t="n">
        <x:v>1</x:v>
      </x:c>
      <x:c r="L96" s="4" t="str">
        <x:v>04、global</x:v>
      </x:c>
      <x:c r="M96" s="4" t="str"/>
      <x:c r="N96" s="4" t="str">
        <x:v>CC0-1.0</x:v>
      </x:c>
      <x:c r="O96" s="12" t="n">
        <x:v>46277.171094722224</x:v>
      </x:c>
      <x:c r="P96" s="4" t="str">
        <x:v>GitHub REST Search API</x:v>
      </x:c>
      <x:c r="Q96" s="4" t="str">
        <x:v>https://github.com/Hack-with-Github/Awesome-Hacking</x:v>
      </x:c>
      <x:c r="R96" s="4" t="str">
        <x:v>security in:name,description stars:&gt;=5000 fork:false archived:false
stars:&gt;=10000 fork:false archived:false</x:v>
      </x:c>
      <x:c r="S96" s="4" t="str">
        <x:v>https://api.github.com/search/repositories?q=security%20in%3Aname%2Cdescription%20stars%3A%3E%3D5000%20fork%3Afalse%20archived%3Afalse&amp;sort=stars&amp;order=desc&amp;per_page=5</x:v>
      </x:c>
    </x:row>
    <x:row r="97" ht="86" customHeight="1">
      <x:c r="A97" s="4" t="str">
        <x:v>microsoft/generative-ai-for-beginners</x:v>
      </x:c>
      <x:c r="B97" s="11" t="n">
        <x:v>119576</x:v>
      </x:c>
      <x:c r="C97" s="4"/>
      <x:c r="D97" s="4" t="str">
        <x:v>未归入15类</x:v>
      </x:c>
      <x:c r="E97" s="4" t="str">
        <x:v>范围排除</x:v>
      </x:c>
      <x:c r="F97" s="4" t="n">
        <x:v>0</x:v>
      </x:c>
      <x:c r="G97" s="4" t="str">
        <x:v>教程/资源/技能资产</x:v>
      </x:c>
      <x:c r="H97" s="4" t="str">
        <x:v>知识/数据资产</x:v>
      </x:c>
      <x:c r="I97" s="4" t="str">
        <x:v>Jupyter Notebook</x:v>
      </x:c>
      <x:c r="J97" s="4" t="str">
        <x:v>21 Lessons, Get Started Building with Generative AI </x:v>
      </x:c>
      <x:c r="K97" s="4" t="n">
        <x:v>1</x:v>
      </x:c>
      <x:c r="L97" s="4" t="str">
        <x:v>global</x:v>
      </x:c>
      <x:c r="M97" s="4" t="str">
        <x:v>299</x:v>
      </x:c>
      <x:c r="N97" s="4" t="str">
        <x:v>MIT</x:v>
      </x:c>
      <x:c r="O97" s="12" t="n">
        <x:v>46277.17107027778</x:v>
      </x:c>
      <x:c r="P97" s="4" t="str">
        <x:v>GitHub REST Search API</x:v>
      </x:c>
      <x:c r="Q97" s="4" t="str">
        <x:v>https://github.com/microsoft/generative-ai-for-beginners</x:v>
      </x:c>
      <x:c r="R97" s="4" t="str">
        <x:v>stars:&gt;=10000 fork:false archived:false</x:v>
      </x:c>
      <x:c r="S97" s="4" t="str">
        <x:v>https://api.github.com/search/repositories?q=stars%3A%3E%3D10000%20fork%3Afalse%20archived%3Afalse&amp;sort=stars&amp;order=desc&amp;per_page=100</x:v>
      </x:c>
    </x:row>
    <x:row r="98" ht="86" customHeight="1">
      <x:c r="A98" s="4" t="str">
        <x:v>justjavac/free-programming-books-zh_CN</x:v>
      </x:c>
      <x:c r="B98" s="11" t="n">
        <x:v>118817</x:v>
      </x:c>
      <x:c r="C98" s="4"/>
      <x:c r="D98" s="4" t="str">
        <x:v>未归入15类</x:v>
      </x:c>
      <x:c r="E98" s="4" t="str">
        <x:v>范围排除</x:v>
      </x:c>
      <x:c r="F98" s="4" t="n">
        <x:v>0</x:v>
      </x:c>
      <x:c r="G98" s="4" t="str">
        <x:v>教程/资源/技能资产</x:v>
      </x:c>
      <x:c r="H98" s="4" t="str">
        <x:v>知识/数据资产</x:v>
      </x:c>
      <x:c r="I98" s="4" t="str">
        <x:v>未获取/未识别</x:v>
      </x:c>
      <x:c r="J98" s="4" t="str">
        <x:v>:books: 免费的计算机编程类中文书籍，欢迎投稿</x:v>
      </x:c>
      <x:c r="K98" s="4" t="n">
        <x:v>1</x:v>
      </x:c>
      <x:c r="L98" s="4" t="str">
        <x:v>global</x:v>
      </x:c>
      <x:c r="M98" s="4" t="str"/>
      <x:c r="N98" s="4" t="str">
        <x:v>GPL-3.0</x:v>
      </x:c>
      <x:c r="O98" s="12" t="n">
        <x:v>46277.17107027778</x:v>
      </x:c>
      <x:c r="P98" s="4" t="str">
        <x:v>GitHub REST Search API</x:v>
      </x:c>
      <x:c r="Q98" s="4" t="str">
        <x:v>https://github.com/justjavac/free-programming-books-zh_CN</x:v>
      </x:c>
      <x:c r="R98" s="4" t="str">
        <x:v>stars:&gt;=10000 fork:false archived:false</x:v>
      </x:c>
      <x:c r="S98" s="4" t="str">
        <x:v>https://api.github.com/search/repositories?q=stars%3A%3E%3D10000%20fork%3Afalse%20archived%3Afalse&amp;sort=stars&amp;order=desc&amp;per_page=100</x:v>
      </x:c>
    </x:row>
    <x:row r="99" ht="86" customHeight="1">
      <x:c r="A99" s="4" t="str">
        <x:v>rust-lang/rust</x:v>
      </x:c>
      <x:c r="B99" s="11" t="n">
        <x:v>118402</x:v>
      </x:c>
      <x:c r="C99" s="4" t="n">
        <x:v>14</x:v>
      </x:c>
      <x:c r="D99" s="4" t="str">
        <x:v>软件构建、开发与测试</x:v>
      </x:c>
      <x:c r="E99" s="4" t="str">
        <x:v>元数据已核验</x:v>
      </x:c>
      <x:c r="F99" s="4" t="n">
        <x:v>1</x:v>
      </x:c>
      <x:c r="G99" s="4" t="str">
        <x:v>软件项目</x:v>
      </x:c>
      <x:c r="H99" s="4" t="str">
        <x:v>软件工程；编程Agent需额外挂13标签</x:v>
      </x:c>
      <x:c r="I99" s="4" t="str">
        <x:v>Rust</x:v>
      </x:c>
      <x:c r="J99" s="4" t="str">
        <x:v>Empowering everyone to build reliable and efficient software.</x:v>
      </x:c>
      <x:c r="K99" s="4" t="n">
        <x:v>1</x:v>
      </x:c>
      <x:c r="L99" s="4" t="str">
        <x:v>global</x:v>
      </x:c>
      <x:c r="M99" s="4" t="str"/>
      <x:c r="N99" s="4" t="str">
        <x:v>Apache-2.0</x:v>
      </x:c>
      <x:c r="O99" s="12" t="n">
        <x:v>46277.17107027778</x:v>
      </x:c>
      <x:c r="P99" s="4" t="str">
        <x:v>GitHub REST Search API</x:v>
      </x:c>
      <x:c r="Q99" s="4" t="str">
        <x:v>https://github.com/rust-lang/rust</x:v>
      </x:c>
      <x:c r="R99" s="4" t="str">
        <x:v>stars:&gt;=10000 fork:false archived:false</x:v>
      </x:c>
      <x:c r="S99" s="4" t="str">
        <x:v>https://api.github.com/search/repositories?q=stars%3A%3E%3D10000%20fork%3Afalse%20archived%3Afalse&amp;sort=stars&amp;order=desc&amp;per_page=100</x:v>
      </x:c>
    </x:row>
    <x:row r="100" ht="86" customHeight="1">
      <x:c r="A100" s="4" t="str">
        <x:v>Graphify-Labs/graphify</x:v>
      </x:c>
      <x:c r="B100" s="11" t="n">
        <x:v>117041</x:v>
      </x:c>
      <x:c r="C100" s="4" t="n">
        <x:v>14</x:v>
      </x:c>
      <x:c r="D100" s="4" t="str">
        <x:v>软件构建、开发与测试</x:v>
      </x:c>
      <x:c r="E100" s="4" t="str">
        <x:v>元数据已核验</x:v>
      </x:c>
      <x:c r="F100" s="4" t="n">
        <x:v>1</x:v>
      </x:c>
      <x:c r="G100" s="4" t="str">
        <x:v>软件项目</x:v>
      </x:c>
      <x:c r="H100" s="4" t="str">
        <x:v>软件工程；编程Agent需额外挂13标签</x:v>
      </x:c>
      <x:c r="I100" s="4" t="str">
        <x:v>Python</x:v>
      </x:c>
      <x:c r="J100" s="4" t="str">
        <x:v>Turn any codebase, with its docs, SQL schemas, configs, and PDFs, into a queryable knowledge graph. A /graphify skill for Claude Code, Cursor, Codex, and Gemini CLI: local deterministic AST parsing, e…</x:v>
      </x:c>
      <x:c r="K100" s="4" t="n">
        <x:v>1</x:v>
      </x:c>
      <x:c r="L100" s="4" t="str">
        <x:v>10、global</x:v>
      </x:c>
      <x:c r="M100" s="4" t="str"/>
      <x:c r="N100" s="4" t="str">
        <x:v>Apache-2.0</x:v>
      </x:c>
      <x:c r="O100" s="12" t="n">
        <x:v>46277.17331170139</x:v>
      </x:c>
      <x:c r="P100" s="4" t="str">
        <x:v>GitHub REST Search API</x:v>
      </x:c>
      <x:c r="Q100" s="4" t="str">
        <x:v>https://github.com/Graphify-Labs/graphify</x:v>
      </x:c>
      <x:c r="R100" s="4" t="str">
        <x:v>PDF in:name,description stars:&gt;=5000 fork:false archived:false
stars:&gt;=10000 fork:false archived:false</x:v>
      </x:c>
      <x:c r="S100" s="4" t="str">
        <x:v>https://api.github.com/search/repositories?q=PDF%20in%3Aname%2Cdescription%20stars%3A%3E%3D5000%20fork%3Afalse%20archived%3Afalse&amp;sort=stars&amp;order=desc&amp;per_page=5</x:v>
      </x:c>
    </x:row>
    <x:row r="101" ht="86" customHeight="1">
      <x:c r="A101" s="4" t="str">
        <x:v>godotengine/godot</x:v>
      </x:c>
      <x:c r="B101" s="11" t="n">
        <x:v>116990</x:v>
      </x:c>
      <x:c r="C101" s="4" t="n">
        <x:v>9</x:v>
      </x:c>
      <x:c r="D101" s="4" t="str">
        <x:v>图形、多媒体与实时应用</x:v>
      </x:c>
      <x:c r="E101" s="4" t="str">
        <x:v>元数据已核验</x:v>
      </x:c>
      <x:c r="F101" s="4" t="n">
        <x:v>1</x:v>
      </x:c>
      <x:c r="G101" s="4" t="str">
        <x:v>软件项目</x:v>
      </x:c>
      <x:c r="H101" s="4" t="str">
        <x:v>媒体/图形</x:v>
      </x:c>
      <x:c r="I101" s="4" t="str">
        <x:v>C++</x:v>
      </x:c>
      <x:c r="J101" s="4" t="str">
        <x:v>Godot Engine – Multi-platform 2D and 3D game engine</x:v>
      </x:c>
      <x:c r="K101" s="4" t="n">
        <x:v>1</x:v>
      </x:c>
      <x:c r="L101" s="4" t="str">
        <x:v>global</x:v>
      </x:c>
      <x:c r="M101" s="4" t="str"/>
      <x:c r="N101" s="4" t="str">
        <x:v>MIT</x:v>
      </x:c>
      <x:c r="O101" s="12" t="n">
        <x:v>46277.17107027778</x:v>
      </x:c>
      <x:c r="P101" s="4" t="str">
        <x:v>GitHub REST Search API</x:v>
      </x:c>
      <x:c r="Q101" s="4" t="str">
        <x:v>https://github.com/godotengine/godot</x:v>
      </x:c>
      <x:c r="R101" s="4" t="str">
        <x:v>stars:&gt;=10000 fork:false archived:false</x:v>
      </x:c>
      <x:c r="S101" s="4" t="str">
        <x:v>https://api.github.com/search/repositories?q=stars%3A%3E%3D10000%20fork%3Afalse%20archived%3Afalse&amp;sort=stars&amp;order=desc&amp;per_page=100</x:v>
      </x:c>
    </x:row>
    <x:row r="102" ht="86" customHeight="1">
      <x:c r="A102" s="4" t="str">
        <x:v>2dust/v2rayN</x:v>
      </x:c>
      <x:c r="B102" s="11" t="n">
        <x:v>115942</x:v>
      </x:c>
      <x:c r="C102" s="4" t="n">
        <x:v>3</x:v>
      </x:c>
      <x:c r="D102" s="4" t="str">
        <x:v>网络与通信协议</x:v>
      </x:c>
      <x:c r="E102" s="4" t="str">
        <x:v>元数据已核验</x:v>
      </x:c>
      <x:c r="F102" s="4" t="n">
        <x:v>1</x:v>
      </x:c>
      <x:c r="G102" s="4" t="str">
        <x:v>软件项目</x:v>
      </x:c>
      <x:c r="H102" s="4" t="str">
        <x:v>网络通信</x:v>
      </x:c>
      <x:c r="I102" s="4" t="str">
        <x:v>C#</x:v>
      </x:c>
      <x:c r="J102" s="4" t="str">
        <x:v>A GUI client for Windows, Linux and macOS, support Xray and sing-box and others</x:v>
      </x:c>
      <x:c r="K102" s="4" t="n">
        <x:v>1</x:v>
      </x:c>
      <x:c r="L102" s="4" t="str">
        <x:v>global</x:v>
      </x:c>
      <x:c r="M102" s="4" t="str"/>
      <x:c r="N102" s="4" t="str">
        <x:v>GPL-3.0</x:v>
      </x:c>
      <x:c r="O102" s="12" t="n">
        <x:v>46277.17107027778</x:v>
      </x:c>
      <x:c r="P102" s="4" t="str">
        <x:v>GitHub REST Search API</x:v>
      </x:c>
      <x:c r="Q102" s="4" t="str">
        <x:v>https://github.com/2dust/v2rayN</x:v>
      </x:c>
      <x:c r="R102" s="4" t="str">
        <x:v>stars:&gt;=10000 fork:false archived:false</x:v>
      </x:c>
      <x:c r="S102" s="4" t="str">
        <x:v>https://api.github.com/search/repositories?q=stars%3A%3E%3D10000%20fork%3Afalse%20archived%3Afalse&amp;sort=stars&amp;order=desc&amp;per_page=100</x:v>
      </x:c>
    </x:row>
    <x:row r="103" ht="86" customHeight="1">
      <x:c r="A103" s="4" t="str">
        <x:v>VoltAgent/awesome-design-md</x:v>
      </x:c>
      <x:c r="B103" s="11" t="n">
        <x:v>115444</x:v>
      </x:c>
      <x:c r="C103" s="4"/>
      <x:c r="D103" s="4" t="str">
        <x:v>未归入15类</x:v>
      </x:c>
      <x:c r="E103" s="4" t="str">
        <x:v>范围排除</x:v>
      </x:c>
      <x:c r="F103" s="4" t="n">
        <x:v>0</x:v>
      </x:c>
      <x:c r="G103" s="4" t="str">
        <x:v>教程/资源/技能资产</x:v>
      </x:c>
      <x:c r="H103" s="4" t="str">
        <x:v>知识/数据资产</x:v>
      </x:c>
      <x:c r="I103" s="4" t="str">
        <x:v>未获取/未识别</x:v>
      </x:c>
      <x:c r="J103" s="4" t="str">
        <x:v>A collection of DESIGN.md files analysis by popular brand design systems. Drop one into your project and let coding agents generate a matching UI.</x:v>
      </x:c>
      <x:c r="K103" s="4" t="n">
        <x:v>1</x:v>
      </x:c>
      <x:c r="L103" s="4" t="str">
        <x:v>07、global</x:v>
      </x:c>
      <x:c r="M103" s="4" t="str"/>
      <x:c r="N103" s="4" t="str">
        <x:v>MIT</x:v>
      </x:c>
      <x:c r="O103" s="12" t="n">
        <x:v>46277.17111368055</x:v>
      </x:c>
      <x:c r="P103" s="4" t="str">
        <x:v>GitHub REST Search API</x:v>
      </x:c>
      <x:c r="Q103" s="4" t="str">
        <x:v>https://github.com/VoltAgent/awesome-design-md</x:v>
      </x:c>
      <x:c r="R103" s="4" t="str">
        <x:v>UI in:name,description stars:&gt;=5000 fork:false archived:false
stars:&gt;=10000 fork:false archived:false</x:v>
      </x:c>
      <x:c r="S103" s="4" t="str">
        <x:v>https://api.github.com/search/repositories?q=UI%20in%3Aname%2Cdescription%20stars%3A%3E%3D5000%20fork%3Afalse%20archived%3Afalse&amp;sort=stars&amp;order=desc&amp;per_page=5</x:v>
      </x:c>
    </x:row>
    <x:row r="104" ht="86" customHeight="1">
      <x:c r="A104" s="4" t="str">
        <x:v>mrdoob/three.js</x:v>
      </x:c>
      <x:c r="B104" s="11" t="n">
        <x:v>115424</x:v>
      </x:c>
      <x:c r="C104" s="4" t="n">
        <x:v>9</x:v>
      </x:c>
      <x:c r="D104" s="4" t="str">
        <x:v>图形、多媒体与实时应用</x:v>
      </x:c>
      <x:c r="E104" s="4" t="str">
        <x:v>元数据已核验</x:v>
      </x:c>
      <x:c r="F104" s="4" t="n">
        <x:v>1</x:v>
      </x:c>
      <x:c r="G104" s="4" t="str">
        <x:v>软件项目</x:v>
      </x:c>
      <x:c r="H104" s="4" t="str">
        <x:v>媒体/图形</x:v>
      </x:c>
      <x:c r="I104" s="4" t="str">
        <x:v>JavaScript</x:v>
      </x:c>
      <x:c r="J104" s="4" t="str">
        <x:v>JavaScript 3D Library.</x:v>
      </x:c>
      <x:c r="K104" s="4" t="n">
        <x:v>1</x:v>
      </x:c>
      <x:c r="L104" s="4" t="str">
        <x:v>global</x:v>
      </x:c>
      <x:c r="M104" s="4" t="str"/>
      <x:c r="N104" s="4" t="str">
        <x:v>MIT</x:v>
      </x:c>
      <x:c r="O104" s="12" t="n">
        <x:v>46277.17107027778</x:v>
      </x:c>
      <x:c r="P104" s="4" t="str">
        <x:v>GitHub REST Search API</x:v>
      </x:c>
      <x:c r="Q104" s="4" t="str">
        <x:v>https://github.com/mrdoob/three.js</x:v>
      </x:c>
      <x:c r="R104" s="4" t="str">
        <x:v>stars:&gt;=10000 fork:false archived:false</x:v>
      </x:c>
      <x:c r="S104" s="4" t="str">
        <x:v>https://api.github.com/search/repositories?q=stars%3A%3E%3D10000%20fork%3Afalse%20archived%3Afalse&amp;sort=stars&amp;order=desc&amp;per_page=100</x:v>
      </x:c>
    </x:row>
    <x:row r="105" ht="86" customHeight="1">
      <x:c r="A105" s="4" t="str">
        <x:v>browser-use/browser-use</x:v>
      </x:c>
      <x:c r="B105" s="11" t="n">
        <x:v>114273</x:v>
      </x:c>
      <x:c r="C105" s="4" t="n">
        <x:v>12</x:v>
      </x:c>
      <x:c r="D105" s="4" t="str">
        <x:v>办公软件与桌面操作自动化</x:v>
      </x:c>
      <x:c r="E105" s="4" t="str">
        <x:v>元数据已核验</x:v>
      </x:c>
      <x:c r="F105" s="4" t="n">
        <x:v>1</x:v>
      </x:c>
      <x:c r="G105" s="4" t="str">
        <x:v>软件项目</x:v>
      </x:c>
      <x:c r="H105" s="4" t="str">
        <x:v>办公/浏览器执行</x:v>
      </x:c>
      <x:c r="I105" s="4" t="str">
        <x:v>Python</x:v>
      </x:c>
      <x:c r="J105" s="4" t="str">
        <x:v>Agents that use the browser.</x:v>
      </x:c>
      <x:c r="K105" s="4" t="n">
        <x:v>1</x:v>
      </x:c>
      <x:c r="L105" s="4" t="str">
        <x:v>global</x:v>
      </x:c>
      <x:c r="M105" s="4" t="str">
        <x:v>147</x:v>
      </x:c>
      <x:c r="N105" s="4" t="str">
        <x:v>MIT</x:v>
      </x:c>
      <x:c r="O105" s="12" t="n">
        <x:v>46277.17107027778</x:v>
      </x:c>
      <x:c r="P105" s="4" t="str">
        <x:v>GitHub REST Search API</x:v>
      </x:c>
      <x:c r="Q105" s="4" t="str">
        <x:v>https://github.com/browser-use/browser-use</x:v>
      </x:c>
      <x:c r="R105" s="4" t="str">
        <x:v>stars:&gt;=10000 fork:false archived:false</x:v>
      </x:c>
      <x:c r="S105" s="4" t="str">
        <x:v>https://api.github.com/search/repositories?q=stars%3A%3E%3D10000%20fork%3Afalse%20archived%3Afalse&amp;sort=stars&amp;order=desc&amp;per_page=100</x:v>
      </x:c>
    </x:row>
    <x:row r="106" ht="86" customHeight="1">
      <x:c r="A106" s="4" t="str">
        <x:v>microsoft/TypeScript</x:v>
      </x:c>
      <x:c r="B106" s="11" t="n">
        <x:v>111002</x:v>
      </x:c>
      <x:c r="C106" s="4" t="n">
        <x:v>14</x:v>
      </x:c>
      <x:c r="D106" s="4" t="str">
        <x:v>软件构建、开发与测试</x:v>
      </x:c>
      <x:c r="E106" s="4" t="str">
        <x:v>元数据已核验</x:v>
      </x:c>
      <x:c r="F106" s="4" t="n">
        <x:v>1</x:v>
      </x:c>
      <x:c r="G106" s="4" t="str">
        <x:v>软件项目</x:v>
      </x:c>
      <x:c r="H106" s="4" t="str">
        <x:v>软件工程；编程Agent需额外挂13标签</x:v>
      </x:c>
      <x:c r="I106" s="4" t="str">
        <x:v>Go</x:v>
      </x:c>
      <x:c r="J106" s="4" t="str">
        <x:v>TypeScript is a superset of JavaScript that compiles to clean JavaScript output.</x:v>
      </x:c>
      <x:c r="K106" s="4" t="n">
        <x:v>0</x:v>
      </x:c>
      <x:c r="L106" s="4" t="str">
        <x:v>14</x:v>
      </x:c>
      <x:c r="M106" s="4" t="str"/>
      <x:c r="N106" s="4" t="str">
        <x:v>Apache-2.0</x:v>
      </x:c>
      <x:c r="O106" s="12" t="n">
        <x:v>46277.17333590278</x:v>
      </x:c>
      <x:c r="P106" s="4" t="str">
        <x:v>GitHub REST Search API</x:v>
      </x:c>
      <x:c r="Q106" s="4" t="str">
        <x:v>https://github.com/microsoft/TypeScript</x:v>
      </x:c>
      <x:c r="R106" s="4" t="str">
        <x:v>compiler in:name,description stars:&gt;=5000 fork:false archived:false</x:v>
      </x:c>
      <x:c r="S106" s="4" t="str">
        <x:v>https://api.github.com/search/repositories?q=compiler%20in%3Aname%2Cdescription%20stars%3A%3E%3D5000%20fork%3Afalse%20archived%3Afalse&amp;sort=stars&amp;order=desc&amp;per_page=5</x:v>
      </x:c>
    </x:row>
    <x:row r="107" ht="86" customHeight="1">
      <x:c r="A107" s="4" t="str">
        <x:v>axios/axios</x:v>
      </x:c>
      <x:c r="B107" s="11" t="n">
        <x:v>109220</x:v>
      </x:c>
      <x:c r="C107" s="4" t="n">
        <x:v>3</x:v>
      </x:c>
      <x:c r="D107" s="4" t="str">
        <x:v>网络与通信协议</x:v>
      </x:c>
      <x:c r="E107" s="4" t="str">
        <x:v>元数据已核验</x:v>
      </x:c>
      <x:c r="F107" s="4" t="n">
        <x:v>1</x:v>
      </x:c>
      <x:c r="G107" s="4" t="str">
        <x:v>软件项目</x:v>
      </x:c>
      <x:c r="H107" s="4" t="str">
        <x:v>网络通信</x:v>
      </x:c>
      <x:c r="I107" s="4" t="str">
        <x:v>JavaScript</x:v>
      </x:c>
      <x:c r="J107" s="4" t="str">
        <x:v>Promise based HTTP client for the browser and node.js</x:v>
      </x:c>
      <x:c r="K107" s="4" t="n">
        <x:v>0</x:v>
      </x:c>
      <x:c r="L107" s="4" t="str">
        <x:v>03</x:v>
      </x:c>
      <x:c r="M107" s="4" t="str"/>
      <x:c r="N107" s="4" t="str">
        <x:v>MIT</x:v>
      </x:c>
      <x:c r="O107" s="12" t="n">
        <x:v>46277.171088310184</x:v>
      </x:c>
      <x:c r="P107" s="4" t="str">
        <x:v>GitHub REST Search API</x:v>
      </x:c>
      <x:c r="Q107" s="4" t="str">
        <x:v>https://github.com/axios/axios</x:v>
      </x:c>
      <x:c r="R107" s="4" t="str">
        <x:v>http in:name,description stars:&gt;=5000 fork:false archived:false</x:v>
      </x:c>
      <x:c r="S107" s="4" t="str">
        <x:v>https://api.github.com/search/repositories?q=http%20in%3Aname%2Cdescription%20stars%3A%3E%3D5000%20fork%3Afalse%20archived%3Afalse&amp;sort=stars&amp;order=desc&amp;per_page=5</x:v>
      </x:c>
    </x:row>
    <x:row r="108" ht="86" customHeight="1">
      <x:c r="A108" s="4" t="str">
        <x:v>supabase/supabase</x:v>
      </x:c>
      <x:c r="B108" s="11" t="n">
        <x:v>109065</x:v>
      </x:c>
      <x:c r="C108" s="4" t="n">
        <x:v>5</x:v>
      </x:c>
      <x:c r="D108" s="4" t="str">
        <x:v>数据库、存储与检索</x:v>
      </x:c>
      <x:c r="E108" s="4" t="str">
        <x:v>元数据已核验</x:v>
      </x:c>
      <x:c r="F108" s="4" t="n">
        <x:v>1</x:v>
      </x:c>
      <x:c r="G108" s="4" t="str">
        <x:v>软件项目</x:v>
      </x:c>
      <x:c r="H108" s="4" t="str">
        <x:v>数据服务</x:v>
      </x:c>
      <x:c r="I108" s="4" t="str">
        <x:v>TypeScript</x:v>
      </x:c>
      <x:c r="J108" s="4" t="str">
        <x:v>The Postgres development platform. Supabase gives you a dedicated Postgres database to build your web, mobile, and AI applications.</x:v>
      </x:c>
      <x:c r="K108" s="4" t="n">
        <x:v>0</x:v>
      </x:c>
      <x:c r="L108" s="4" t="str">
        <x:v>05</x:v>
      </x:c>
      <x:c r="M108" s="4" t="str"/>
      <x:c r="N108" s="4" t="str">
        <x:v>Apache-2.0</x:v>
      </x:c>
      <x:c r="O108" s="12" t="n">
        <x:v>46277.17110076389</x:v>
      </x:c>
      <x:c r="P108" s="4" t="str">
        <x:v>GitHub REST Search API</x:v>
      </x:c>
      <x:c r="Q108" s="4" t="str">
        <x:v>https://github.com/supabase/supabase</x:v>
      </x:c>
      <x:c r="R108" s="4" t="str">
        <x:v>database in:name,description stars:&gt;=5000 fork:false archived:false</x:v>
      </x:c>
      <x:c r="S108" s="4" t="str">
        <x:v>https://api.github.com/search/repositories?q=database%20in%3Aname%2Cdescription%20stars%3A%3E%3D5000%20fork%3Afalse%20archived%3Afalse&amp;sort=stars&amp;order=desc&amp;per_page=5</x:v>
      </x:c>
    </x:row>
    <x:row r="109" ht="86" customHeight="1">
      <x:c r="A109" s="4" t="str">
        <x:v>denoland/deno</x:v>
      </x:c>
      <x:c r="B109" s="11" t="n">
        <x:v>108406</x:v>
      </x:c>
      <x:c r="C109" s="4" t="n">
        <x:v>2</x:v>
      </x:c>
      <x:c r="D109" s="4" t="str">
        <x:v>系统资源与原生互操作</x:v>
      </x:c>
      <x:c r="E109" s="4" t="str">
        <x:v>元数据已核验</x:v>
      </x:c>
      <x:c r="F109" s="4" t="n">
        <x:v>1</x:v>
      </x:c>
      <x:c r="G109" s="4" t="str">
        <x:v>软件项目</x:v>
      </x:c>
      <x:c r="H109" s="4" t="str">
        <x:v>原生/系统接口</x:v>
      </x:c>
      <x:c r="I109" s="4" t="str">
        <x:v>Rust</x:v>
      </x:c>
      <x:c r="J109" s="4" t="str">
        <x:v>A modern runtime for JavaScript and TypeScript.</x:v>
      </x:c>
      <x:c r="K109" s="4" t="n">
        <x:v>0</x:v>
      </x:c>
      <x:c r="L109" s="4" t="str">
        <x:v>02</x:v>
      </x:c>
      <x:c r="M109" s="4" t="str"/>
      <x:c r="N109" s="4" t="str">
        <x:v>MIT</x:v>
      </x:c>
      <x:c r="O109" s="12" t="n">
        <x:v>46277.17108263889</x:v>
      </x:c>
      <x:c r="P109" s="4" t="str">
        <x:v>GitHub REST Search API</x:v>
      </x:c>
      <x:c r="Q109" s="4" t="str">
        <x:v>https://github.com/denoland/deno</x:v>
      </x:c>
      <x:c r="R109" s="4" t="str">
        <x:v>runtime in:name,description stars:&gt;=5000 fork:false archived:false</x:v>
      </x:c>
      <x:c r="S109" s="4" t="str">
        <x:v>https://api.github.com/search/repositories?q=runtime%20in%3Aname%2Cdescription%20stars%3A%3E%3D5000%20fork%3Afalse%20archived%3Afalse&amp;sort=stars&amp;order=desc&amp;per_page=5</x:v>
      </x:c>
    </x:row>
    <x:row r="110" ht="86" customHeight="1">
      <x:c r="A110" s="4" t="str">
        <x:v>fastapi/fastapi</x:v>
      </x:c>
      <x:c r="B110" s="11" t="n">
        <x:v>102262</x:v>
      </x:c>
      <x:c r="C110" s="4" t="n">
        <x:v>6</x:v>
      </x:c>
      <x:c r="D110" s="4" t="str">
        <x:v>后端服务与业务流程</x:v>
      </x:c>
      <x:c r="E110" s="4" t="str">
        <x:v>元数据已核验</x:v>
      </x:c>
      <x:c r="F110" s="4" t="n">
        <x:v>1</x:v>
      </x:c>
      <x:c r="G110" s="4" t="str">
        <x:v>软件项目</x:v>
      </x:c>
      <x:c r="H110" s="4" t="str">
        <x:v>业务应用/确定性工作流</x:v>
      </x:c>
      <x:c r="I110" s="4" t="str">
        <x:v>未获取/未识别</x:v>
      </x:c>
      <x:c r="J110" s="4" t="str">
        <x:v>FastAPI framework, high performance, easy to learn, fast to code, ready for production - fastapi/fastapi</x:v>
      </x:c>
      <x:c r="K110" s="4" t="n">
        <x:v>0</x:v>
      </x:c>
      <x:c r="L110" s="4" t="str">
        <x:v>补充代表项目</x:v>
      </x:c>
      <x:c r="M110" s="4" t="str"/>
      <x:c r="N110" s="4" t="str">
        <x:v>未核验许可</x:v>
      </x:c>
      <x:c r="O110" s="12" t="n">
        <x:v>46277.172679710646</x:v>
      </x:c>
      <x:c r="P110" s="4" t="str">
        <x:v>GitHub公开HTML精确title星数</x:v>
      </x:c>
      <x:c r="Q110" s="4" t="str">
        <x:v>https://github.com/fastapi/fastapi</x:v>
      </x:c>
      <x:c r="R110" s="4" t="str">
        <x:v>定向补充；非随机抽样</x:v>
      </x:c>
      <x:c r="S110" s="4" t="str">
        <x:v>https://github.com/fastapi/fastapi</x:v>
      </x:c>
    </x:row>
    <x:row r="111" ht="86" customHeight="1">
      <x:c r="A111" s="4" t="str">
        <x:v>microsoft/playwright</x:v>
      </x:c>
      <x:c r="B111" s="11" t="n">
        <x:v>95991</x:v>
      </x:c>
      <x:c r="C111" s="4" t="n">
        <x:v>12</x:v>
      </x:c>
      <x:c r="D111" s="4" t="str">
        <x:v>办公软件与桌面操作自动化</x:v>
      </x:c>
      <x:c r="E111" s="4" t="str">
        <x:v>元数据已核验</x:v>
      </x:c>
      <x:c r="F111" s="4" t="n">
        <x:v>1</x:v>
      </x:c>
      <x:c r="G111" s="4" t="str">
        <x:v>软件项目</x:v>
      </x:c>
      <x:c r="H111" s="4" t="str">
        <x:v>办公/浏览器执行</x:v>
      </x:c>
      <x:c r="I111" s="4" t="str">
        <x:v>TypeScript</x:v>
      </x:c>
      <x:c r="J111" s="4" t="str">
        <x:v>Playwright is a framework for Web Testing and Automation. It allows testing Chromium, Firefox and WebKit with a single API. </x:v>
      </x:c>
      <x:c r="K111" s="4" t="n">
        <x:v>0</x:v>
      </x:c>
      <x:c r="L111" s="4" t="str">
        <x:v>12</x:v>
      </x:c>
      <x:c r="M111" s="4" t="str"/>
      <x:c r="N111" s="4" t="str">
        <x:v>Apache-2.0</x:v>
      </x:c>
      <x:c r="O111" s="12" t="n">
        <x:v>46277.17331760417</x:v>
      </x:c>
      <x:c r="P111" s="4" t="str">
        <x:v>GitHub REST Search API</x:v>
      </x:c>
      <x:c r="Q111" s="4" t="str">
        <x:v>https://github.com/microsoft/playwright</x:v>
      </x:c>
      <x:c r="R111" s="4" t="str">
        <x:v>automation in:name,description stars:&gt;=5000 fork:false archived:false</x:v>
      </x:c>
      <x:c r="S111" s="4" t="str">
        <x:v>https://api.github.com/search/repositories?q=automation%20in%3Aname%2Cdescription%20stars%3A%3E%3D5000%20fork%3Afalse%20archived%3Afalse&amp;sort=stars&amp;order=desc&amp;per_page=5</x:v>
      </x:c>
    </x:row>
    <x:row r="112" ht="86" customHeight="1">
      <x:c r="A112" s="4" t="str">
        <x:v>oven-sh/bun</x:v>
      </x:c>
      <x:c r="B112" s="11" t="n">
        <x:v>95946</x:v>
      </x:c>
      <x:c r="C112" s="4" t="n">
        <x:v>2</x:v>
      </x:c>
      <x:c r="D112" s="4" t="str">
        <x:v>系统资源与原生互操作</x:v>
      </x:c>
      <x:c r="E112" s="4" t="str">
        <x:v>元数据已核验</x:v>
      </x:c>
      <x:c r="F112" s="4" t="n">
        <x:v>1</x:v>
      </x:c>
      <x:c r="G112" s="4" t="str">
        <x:v>软件项目</x:v>
      </x:c>
      <x:c r="H112" s="4" t="str">
        <x:v>原生/系统接口</x:v>
      </x:c>
      <x:c r="I112" s="4" t="str">
        <x:v>Rust</x:v>
      </x:c>
      <x:c r="J112" s="4" t="str">
        <x:v>Incredibly fast JavaScript runtime, bundler, test runner, and package manager – all in one</x:v>
      </x:c>
      <x:c r="K112" s="4" t="n">
        <x:v>0</x:v>
      </x:c>
      <x:c r="L112" s="4" t="str">
        <x:v>02</x:v>
      </x:c>
      <x:c r="M112" s="4" t="str">
        <x:v>333</x:v>
      </x:c>
      <x:c r="N112" s="4" t="str">
        <x:v>NOASSERTION</x:v>
      </x:c>
      <x:c r="O112" s="12" t="n">
        <x:v>46277.17108263889</x:v>
      </x:c>
      <x:c r="P112" s="4" t="str">
        <x:v>GitHub REST Search API</x:v>
      </x:c>
      <x:c r="Q112" s="4" t="str">
        <x:v>https://github.com/oven-sh/bun</x:v>
      </x:c>
      <x:c r="R112" s="4" t="str">
        <x:v>runtime in:name,description stars:&gt;=5000 fork:false archived:false</x:v>
      </x:c>
      <x:c r="S112" s="4" t="str">
        <x:v>https://api.github.com/search/repositories?q=runtime%20in%3Aname%2Cdescription%20stars%3A%3E%3D5000%20fork%3Afalse%20archived%3Afalse&amp;sort=stars&amp;order=desc&amp;per_page=5</x:v>
      </x:c>
    </x:row>
    <x:row r="113" ht="86" customHeight="1">
      <x:c r="A113" s="4" t="str">
        <x:v>nexu-io/open-design</x:v>
      </x:c>
      <x:c r="B113" s="11" t="n">
        <x:v>95652</x:v>
      </x:c>
      <x:c r="C113" s="4" t="n">
        <x:v>10</x:v>
      </x:c>
      <x:c r="D113" s="4" t="str">
        <x:v>文档与办公数据处理</x:v>
      </x:c>
      <x:c r="E113" s="4" t="str">
        <x:v>元数据已核验</x:v>
      </x:c>
      <x:c r="F113" s="4" t="n">
        <x:v>1</x:v>
      </x:c>
      <x:c r="G113" s="4" t="str">
        <x:v>软件项目</x:v>
      </x:c>
      <x:c r="H113" s="4" t="str">
        <x:v>文档/知识内容</x:v>
      </x:c>
      <x:c r="I113" s="4" t="str">
        <x:v>TypeScript</x:v>
      </x:c>
      <x:c r="J113" s="4" t="str">
        <x:v>🎨 Best DeepSeek Harness Design Plugin. The open-source Claude Design alternative. 🖥️ Local-first desktop app. 🖼️ Your coding agent becomes the design engine: prototypes, landing pages, dashboards, …</x:v>
      </x:c>
      <x:c r="K113" s="4" t="n">
        <x:v>0</x:v>
      </x:c>
      <x:c r="L113" s="4" t="str">
        <x:v>10</x:v>
      </x:c>
      <x:c r="M113" s="4" t="str"/>
      <x:c r="N113" s="4" t="str">
        <x:v>Apache-2.0</x:v>
      </x:c>
      <x:c r="O113" s="12" t="n">
        <x:v>46277.17331170139</x:v>
      </x:c>
      <x:c r="P113" s="4" t="str">
        <x:v>GitHub REST Search API</x:v>
      </x:c>
      <x:c r="Q113" s="4" t="str">
        <x:v>https://github.com/nexu-io/open-design</x:v>
      </x:c>
      <x:c r="R113" s="4" t="str">
        <x:v>PDF in:name,description stars:&gt;=5000 fork:false archived:false</x:v>
      </x:c>
      <x:c r="S113" s="4" t="str">
        <x:v>https://api.github.com/search/repositories?q=PDF%20in%3Aname%2Cdescription%20stars%3A%3E%3D5000%20fork%3Afalse%20archived%3Afalse&amp;sort=stars&amp;order=desc&amp;per_page=5</x:v>
      </x:c>
    </x:row>
    <x:row r="114" ht="86" customHeight="1">
      <x:c r="A114" s="4" t="str">
        <x:v>ruvnet/RuView</x:v>
      </x:c>
      <x:c r="B114" s="11" t="n">
        <x:v>93067</x:v>
      </x:c>
      <x:c r="C114" s="4" t="n">
        <x:v>11</x:v>
      </x:c>
      <x:c r="D114" s="4" t="str">
        <x:v>AI模型与机器学习</x:v>
      </x:c>
      <x:c r="E114" s="4" t="str">
        <x:v>元数据已核验</x:v>
      </x:c>
      <x:c r="F114" s="4" t="n">
        <x:v>1</x:v>
      </x:c>
      <x:c r="G114" s="4" t="str">
        <x:v>软件项目</x:v>
      </x:c>
      <x:c r="H114" s="4" t="str">
        <x:v>AI模型/推理</x:v>
      </x:c>
      <x:c r="I114" s="4" t="str">
        <x:v>Rust</x:v>
      </x:c>
      <x:c r="J114" s="4" t="str">
        <x:v>π RuView turns commodity WiFi signals into real-time spatial intelligence, vital sign monitoring, and presence detection — all without a single pixel of video.</x:v>
      </x:c>
      <x:c r="K114" s="4" t="n">
        <x:v>0</x:v>
      </x:c>
      <x:c r="L114" s="4" t="str">
        <x:v>15</x:v>
      </x:c>
      <x:c r="M114" s="4" t="str">
        <x:v>360</x:v>
      </x:c>
      <x:c r="N114" s="4" t="str">
        <x:v>MIT</x:v>
      </x:c>
      <x:c r="O114" s="12" t="n">
        <x:v>46277.173341608795</x:v>
      </x:c>
      <x:c r="P114" s="4" t="str">
        <x:v>GitHub REST Search API</x:v>
      </x:c>
      <x:c r="Q114" s="4" t="str">
        <x:v>https://github.com/ruvnet/RuView</x:v>
      </x:c>
      <x:c r="R114" s="4" t="str">
        <x:v>monitoring in:name,description stars:&gt;=5000 fork:false archived:false</x:v>
      </x:c>
      <x:c r="S114" s="4" t="str">
        <x:v>https://api.github.com/search/repositories?q=monitoring%20in%3Aname%2Cdescription%20stars%3A%3E%3D5000%20fork%3Afalse%20archived%3Afalse&amp;sort=stars&amp;order=desc&amp;per_page=5</x:v>
      </x:c>
    </x:row>
    <x:row r="115" ht="86" customHeight="1">
      <x:c r="A115" s="4" t="str">
        <x:v>Stirling-Tools/Stirling-PDF</x:v>
      </x:c>
      <x:c r="B115" s="11" t="n">
        <x:v>91795</x:v>
      </x:c>
      <x:c r="C115" s="4" t="n">
        <x:v>10</x:v>
      </x:c>
      <x:c r="D115" s="4" t="str">
        <x:v>文档与办公数据处理</x:v>
      </x:c>
      <x:c r="E115" s="4" t="str">
        <x:v>元数据已核验</x:v>
      </x:c>
      <x:c r="F115" s="4" t="n">
        <x:v>1</x:v>
      </x:c>
      <x:c r="G115" s="4" t="str">
        <x:v>软件项目</x:v>
      </x:c>
      <x:c r="H115" s="4" t="str">
        <x:v>文档/知识内容</x:v>
      </x:c>
      <x:c r="I115" s="4" t="str">
        <x:v>Java</x:v>
      </x:c>
      <x:c r="J115" s="4" t="str">
        <x:v>#1 PDF Application on GitHub that lets you edit PDFs on any device anywhere</x:v>
      </x:c>
      <x:c r="K115" s="4" t="n">
        <x:v>0</x:v>
      </x:c>
      <x:c r="L115" s="4" t="str">
        <x:v>10</x:v>
      </x:c>
      <x:c r="M115" s="4" t="str">
        <x:v>521</x:v>
      </x:c>
      <x:c r="N115" s="4" t="str">
        <x:v>NOASSERTION</x:v>
      </x:c>
      <x:c r="O115" s="12" t="n">
        <x:v>46277.17331170139</x:v>
      </x:c>
      <x:c r="P115" s="4" t="str">
        <x:v>GitHub REST Search API</x:v>
      </x:c>
      <x:c r="Q115" s="4" t="str">
        <x:v>https://github.com/Stirling-Tools/Stirling-PDF</x:v>
      </x:c>
      <x:c r="R115" s="4" t="str">
        <x:v>PDF in:name,description stars:&gt;=5000 fork:false archived:false</x:v>
      </x:c>
      <x:c r="S115" s="4" t="str">
        <x:v>https://api.github.com/search/repositories?q=PDF%20in%3Aname%2Cdescription%20stars%3A%3E%3D5000%20fork%3Afalse%20archived%3Afalse&amp;sort=stars&amp;order=desc&amp;per_page=5</x:v>
      </x:c>
    </x:row>
    <x:row r="116" ht="86" customHeight="1">
      <x:c r="A116" s="4" t="str">
        <x:v>louislam/uptime-kuma</x:v>
      </x:c>
      <x:c r="B116" s="11" t="n">
        <x:v>91282</x:v>
      </x:c>
      <x:c r="C116" s="4" t="n">
        <x:v>15</x:v>
      </x:c>
      <x:c r="D116" s="4" t="str">
        <x:v>部署运维与可观测性</x:v>
      </x:c>
      <x:c r="E116" s="4" t="str">
        <x:v>元数据已核验</x:v>
      </x:c>
      <x:c r="F116" s="4" t="n">
        <x:v>1</x:v>
      </x:c>
      <x:c r="G116" s="4" t="str">
        <x:v>软件项目</x:v>
      </x:c>
      <x:c r="H116" s="4" t="str">
        <x:v>运维/可观测性</x:v>
      </x:c>
      <x:c r="I116" s="4" t="str">
        <x:v>JavaScript</x:v>
      </x:c>
      <x:c r="J116" s="4" t="str">
        <x:v>A fancy self-hosted monitoring tool</x:v>
      </x:c>
      <x:c r="K116" s="4" t="n">
        <x:v>0</x:v>
      </x:c>
      <x:c r="L116" s="4" t="str">
        <x:v>15</x:v>
      </x:c>
      <x:c r="M116" s="4" t="str"/>
      <x:c r="N116" s="4" t="str">
        <x:v>MIT</x:v>
      </x:c>
      <x:c r="O116" s="12" t="n">
        <x:v>46277.173341608795</x:v>
      </x:c>
      <x:c r="P116" s="4" t="str">
        <x:v>GitHub REST Search API</x:v>
      </x:c>
      <x:c r="Q116" s="4" t="str">
        <x:v>https://github.com/louislam/uptime-kuma</x:v>
      </x:c>
      <x:c r="R116" s="4" t="str">
        <x:v>monitoring in:name,description stars:&gt;=5000 fork:false archived:false</x:v>
      </x:c>
      <x:c r="S116" s="4" t="str">
        <x:v>https://api.github.com/search/repositories?q=monitoring%20in%3Aname%2Cdescription%20stars%3A%3E%3D5000%20fork%3Afalse%20archived%3Afalse&amp;sort=stars&amp;order=desc&amp;per_page=5</x:v>
      </x:c>
    </x:row>
    <x:row r="117" ht="86" customHeight="1">
      <x:c r="A117" s="4" t="str">
        <x:v>microsoft/ML-For-Beginners</x:v>
      </x:c>
      <x:c r="B117" s="11" t="n">
        <x:v>90389</x:v>
      </x:c>
      <x:c r="C117" s="4"/>
      <x:c r="D117" s="4" t="str">
        <x:v>未归入15类</x:v>
      </x:c>
      <x:c r="E117" s="4" t="str">
        <x:v>范围排除</x:v>
      </x:c>
      <x:c r="F117" s="4" t="n">
        <x:v>0</x:v>
      </x:c>
      <x:c r="G117" s="4" t="str">
        <x:v>教程/资源/技能资产</x:v>
      </x:c>
      <x:c r="H117" s="4" t="str">
        <x:v>知识/数据资产</x:v>
      </x:c>
      <x:c r="I117" s="4" t="str">
        <x:v>Jupyter Notebook</x:v>
      </x:c>
      <x:c r="J117" s="4" t="str">
        <x:v>12 weeks, 26 lessons, 52 quizzes, classic Machine Learning for all</x:v>
      </x:c>
      <x:c r="K117" s="4" t="n">
        <x:v>0</x:v>
      </x:c>
      <x:c r="L117" s="4" t="str">
        <x:v>11</x:v>
      </x:c>
      <x:c r="M117" s="4" t="str">
        <x:v>292</x:v>
      </x:c>
      <x:c r="N117" s="4" t="str">
        <x:v>MIT</x:v>
      </x:c>
      <x:c r="O117" s="12" t="n">
        <x:v>46277.17332342592</x:v>
      </x:c>
      <x:c r="P117" s="4" t="str">
        <x:v>GitHub REST Search API</x:v>
      </x:c>
      <x:c r="Q117" s="4" t="str">
        <x:v>https://github.com/microsoft/ML-For-Beginners</x:v>
      </x:c>
      <x:c r="R117" s="4" t="str">
        <x:v>machine learning in:name,description stars:&gt;=5000 fork:false archived:false</x:v>
      </x:c>
      <x:c r="S117" s="4" t="str">
        <x:v>https://api.github.com/search/repositories?q=machine%20learning%20in%3Aname%2Cdescription%20stars%3A%3E%3D5000%20fork%3Afalse%20archived%3Afalse&amp;sort=stars&amp;order=desc&amp;per_page=5</x:v>
      </x:c>
    </x:row>
    <x:row r="118" ht="86" customHeight="1">
      <x:c r="A118" s="4" t="str">
        <x:v>home-assistant/core</x:v>
      </x:c>
      <x:c r="B118" s="11" t="n">
        <x:v>90385</x:v>
      </x:c>
      <x:c r="C118" s="4"/>
      <x:c r="D118" s="4" t="str">
        <x:v>未归入15类</x:v>
      </x:c>
      <x:c r="E118" s="4" t="str">
        <x:v>范围待决</x:v>
      </x:c>
      <x:c r="F118" s="4" t="n">
        <x:v>1</x:v>
      </x:c>
      <x:c r="G118" s="4" t="str">
        <x:v>软件项目</x:v>
      </x:c>
      <x:c r="H118" s="4" t="str">
        <x:v>IoT/机器人/工业控制</x:v>
      </x:c>
      <x:c r="I118" s="4" t="str">
        <x:v>Python</x:v>
      </x:c>
      <x:c r="J118" s="4" t="str">
        <x:v>:house_with_garden: Open source home automation that puts local control and privacy first.</x:v>
      </x:c>
      <x:c r="K118" s="4" t="n">
        <x:v>0</x:v>
      </x:c>
      <x:c r="L118" s="4" t="str">
        <x:v>12</x:v>
      </x:c>
      <x:c r="M118" s="4" t="str"/>
      <x:c r="N118" s="4" t="str">
        <x:v>Apache-2.0</x:v>
      </x:c>
      <x:c r="O118" s="12" t="n">
        <x:v>46277.17331760417</x:v>
      </x:c>
      <x:c r="P118" s="4" t="str">
        <x:v>GitHub REST Search API</x:v>
      </x:c>
      <x:c r="Q118" s="4" t="str">
        <x:v>https://github.com/home-assistant/core</x:v>
      </x:c>
      <x:c r="R118" s="4" t="str">
        <x:v>automation in:name,description stars:&gt;=5000 fork:false archived:false</x:v>
      </x:c>
      <x:c r="S118" s="4" t="str">
        <x:v>https://api.github.com/search/repositories?q=automation%20in%3Aname%2Cdescription%20stars%3A%3E%3D5000%20fork%3Afalse%20archived%3Afalse&amp;sort=stars&amp;order=desc&amp;per_page=5</x:v>
      </x:c>
    </x:row>
    <x:row r="119" ht="86" customHeight="1">
      <x:c r="A119" s="4" t="str">
        <x:v>PanJiaChen/vue-element-admin</x:v>
      </x:c>
      <x:c r="B119" s="11" t="n">
        <x:v>90192</x:v>
      </x:c>
      <x:c r="C119" s="4" t="n">
        <x:v>7</x:v>
      </x:c>
      <x:c r="D119" s="4" t="str">
        <x:v>用户界面与交互</x:v>
      </x:c>
      <x:c r="E119" s="4" t="str">
        <x:v>元数据已核验</x:v>
      </x:c>
      <x:c r="F119" s="4" t="n">
        <x:v>1</x:v>
      </x:c>
      <x:c r="G119" s="4" t="str">
        <x:v>软件项目</x:v>
      </x:c>
      <x:c r="H119" s="4" t="str">
        <x:v>UI框架</x:v>
      </x:c>
      <x:c r="I119" s="4" t="str">
        <x:v>Vue</x:v>
      </x:c>
      <x:c r="J119" s="4" t="str">
        <x:v>:tada: A magical vue admin                                                                https://panjiachen.github.io/vue-element-admin</x:v>
      </x:c>
      <x:c r="K119" s="4" t="n">
        <x:v>0</x:v>
      </x:c>
      <x:c r="L119" s="4" t="str">
        <x:v>03</x:v>
      </x:c>
      <x:c r="M119" s="4" t="str"/>
      <x:c r="N119" s="4" t="str">
        <x:v>MIT</x:v>
      </x:c>
      <x:c r="O119" s="12" t="n">
        <x:v>46277.171088310184</x:v>
      </x:c>
      <x:c r="P119" s="4" t="str">
        <x:v>GitHub REST Search API</x:v>
      </x:c>
      <x:c r="Q119" s="4" t="str">
        <x:v>https://github.com/PanJiaChen/vue-element-admin</x:v>
      </x:c>
      <x:c r="R119" s="4" t="str">
        <x:v>http in:name,description stars:&gt;=5000 fork:false archived:false</x:v>
      </x:c>
      <x:c r="S119" s="4" t="str">
        <x:v>https://api.github.com/search/repositories?q=http%20in%3Aname%2Cdescription%20stars%3A%3E%3D5000%20fork%3Afalse%20archived%3Afalse&amp;sort=stars&amp;order=desc&amp;per_page=5</x:v>
      </x:c>
    </x:row>
    <x:row r="120" ht="86" customHeight="1">
      <x:c r="A120" s="4" t="str">
        <x:v>PaddlePaddle/PaddleOCR</x:v>
      </x:c>
      <x:c r="B120" s="11" t="n">
        <x:v>89361</x:v>
      </x:c>
      <x:c r="C120" s="4" t="n">
        <x:v>11</x:v>
      </x:c>
      <x:c r="D120" s="4" t="str">
        <x:v>AI模型与机器学习</x:v>
      </x:c>
      <x:c r="E120" s="4" t="str">
        <x:v>元数据已核验</x:v>
      </x:c>
      <x:c r="F120" s="4" t="n">
        <x:v>1</x:v>
      </x:c>
      <x:c r="G120" s="4" t="str">
        <x:v>软件项目</x:v>
      </x:c>
      <x:c r="H120" s="4" t="str">
        <x:v>AI模型/推理</x:v>
      </x:c>
      <x:c r="I120" s="4" t="str">
        <x:v>Python</x:v>
      </x:c>
      <x:c r="J120" s="4" t="str">
        <x:v>Turn any PDF or image document into structured data for your AI. A powerful, lightweight OCR toolkit that bridges the gap between images/PDFs and LLMs. Supports 100+ languages.</x:v>
      </x:c>
      <x:c r="K120" s="4" t="n">
        <x:v>0</x:v>
      </x:c>
      <x:c r="L120" s="4" t="str">
        <x:v>10</x:v>
      </x:c>
      <x:c r="M120" s="4" t="str">
        <x:v>516</x:v>
      </x:c>
      <x:c r="N120" s="4" t="str">
        <x:v>Apache-2.0</x:v>
      </x:c>
      <x:c r="O120" s="12" t="n">
        <x:v>46277.17331170139</x:v>
      </x:c>
      <x:c r="P120" s="4" t="str">
        <x:v>GitHub REST Search API</x:v>
      </x:c>
      <x:c r="Q120" s="4" t="str">
        <x:v>https://github.com/PaddlePaddle/PaddleOCR</x:v>
      </x:c>
      <x:c r="R120" s="4" t="str">
        <x:v>PDF in:name,description stars:&gt;=5000 fork:false archived:false</x:v>
      </x:c>
      <x:c r="S120" s="4" t="str">
        <x:v>https://api.github.com/search/repositories?q=PDF%20in%3Aname%2Cdescription%20stars%3A%3E%3D5000%20fork%3Afalse%20archived%3Afalse&amp;sort=stars&amp;order=desc&amp;per_page=5</x:v>
      </x:c>
    </x:row>
    <x:row r="121" ht="86" customHeight="1">
      <x:c r="A121" s="4" t="str">
        <x:v>gin-gonic/gin</x:v>
      </x:c>
      <x:c r="B121" s="11" t="n">
        <x:v>89203</x:v>
      </x:c>
      <x:c r="C121" s="4" t="n">
        <x:v>6</x:v>
      </x:c>
      <x:c r="D121" s="4" t="str">
        <x:v>后端服务与业务流程</x:v>
      </x:c>
      <x:c r="E121" s="4" t="str">
        <x:v>元数据已核验</x:v>
      </x:c>
      <x:c r="F121" s="4" t="n">
        <x:v>1</x:v>
      </x:c>
      <x:c r="G121" s="4" t="str">
        <x:v>软件项目</x:v>
      </x:c>
      <x:c r="H121" s="4" t="str">
        <x:v>业务应用/确定性工作流</x:v>
      </x:c>
      <x:c r="I121" s="4" t="str">
        <x:v>Go</x:v>
      </x:c>
      <x:c r="J121" s="4" t="str">
        <x:v>Gin is a high-performance HTTP web framework written in Go. It provides a Martini-like API but with significantly better performance—up to 40 times faster—thanks to httprouter. Gin is designed for bui…</x:v>
      </x:c>
      <x:c r="K121" s="4" t="n">
        <x:v>0</x:v>
      </x:c>
      <x:c r="L121" s="4" t="str">
        <x:v>03</x:v>
      </x:c>
      <x:c r="M121" s="4" t="str"/>
      <x:c r="N121" s="4" t="str">
        <x:v>MIT</x:v>
      </x:c>
      <x:c r="O121" s="12" t="n">
        <x:v>46277.171088310184</x:v>
      </x:c>
      <x:c r="P121" s="4" t="str">
        <x:v>GitHub REST Search API</x:v>
      </x:c>
      <x:c r="Q121" s="4" t="str">
        <x:v>https://github.com/gin-gonic/gin</x:v>
      </x:c>
      <x:c r="R121" s="4" t="str">
        <x:v>http in:name,description stars:&gt;=5000 fork:false archived:false</x:v>
      </x:c>
      <x:c r="S121" s="4" t="str">
        <x:v>https://api.github.com/search/repositories?q=http%20in%3Aname%2Cdescription%20stars%3A%3E%3D5000%20fork%3Afalse%20archived%3Afalse&amp;sort=stars&amp;order=desc&amp;per_page=5</x:v>
      </x:c>
    </x:row>
    <x:row r="122" ht="86" customHeight="1">
      <x:c r="A122" s="4" t="str">
        <x:v>koala73/worldmonitor</x:v>
      </x:c>
      <x:c r="B122" s="11" t="n">
        <x:v>86088</x:v>
      </x:c>
      <x:c r="C122" s="4" t="n">
        <x:v>8</x:v>
      </x:c>
      <x:c r="D122" s="4" t="str">
        <x:v>数据处理与科学计算</x:v>
      </x:c>
      <x:c r="E122" s="4" t="str">
        <x:v>元数据已核验</x:v>
      </x:c>
      <x:c r="F122" s="4" t="n">
        <x:v>1</x:v>
      </x:c>
      <x:c r="G122" s="4" t="str">
        <x:v>软件项目</x:v>
      </x:c>
      <x:c r="H122" s="4" t="str">
        <x:v>数据/行业分析</x:v>
      </x:c>
      <x:c r="I122" s="4" t="str">
        <x:v>TypeScript</x:v>
      </x:c>
      <x:c r="J122" s="4" t="str">
        <x:v>Real-time global intelligence dashboard. AI-powered news aggregation, geopolitical monitoring, and infrastructure tracking in a unified situational awareness interface</x:v>
      </x:c>
      <x:c r="K122" s="4" t="n">
        <x:v>0</x:v>
      </x:c>
      <x:c r="L122" s="4" t="str">
        <x:v>15</x:v>
      </x:c>
      <x:c r="M122" s="4" t="str">
        <x:v>265</x:v>
      </x:c>
      <x:c r="N122" s="4" t="str">
        <x:v>AGPL-3.0</x:v>
      </x:c>
      <x:c r="O122" s="12" t="n">
        <x:v>46277.173341608795</x:v>
      </x:c>
      <x:c r="P122" s="4" t="str">
        <x:v>GitHub REST Search API</x:v>
      </x:c>
      <x:c r="Q122" s="4" t="str">
        <x:v>https://github.com/koala73/worldmonitor</x:v>
      </x:c>
      <x:c r="R122" s="4" t="str">
        <x:v>monitoring in:name,description stars:&gt;=5000 fork:false archived:false</x:v>
      </x:c>
      <x:c r="S122" s="4" t="str">
        <x:v>https://api.github.com/search/repositories?q=monitoring%20in%3Aname%2Cdescription%20stars%3A%3E%3D5000%20fork%3Afalse%20archived%3Afalse&amp;sort=stars&amp;order=desc&amp;per_page=5</x:v>
      </x:c>
    </x:row>
    <x:row r="123" ht="86" customHeight="1">
      <x:c r="A123" s="4" t="str">
        <x:v>fighting41love/funNLP</x:v>
      </x:c>
      <x:c r="B123" s="11" t="n">
        <x:v>83050</x:v>
      </x:c>
      <x:c r="C123" s="4"/>
      <x:c r="D123" s="4" t="str">
        <x:v>未归入15类</x:v>
      </x:c>
      <x:c r="E123" s="4" t="str">
        <x:v>范围排除</x:v>
      </x:c>
      <x:c r="F123" s="4" t="n">
        <x:v>0</x:v>
      </x:c>
      <x:c r="G123" s="4" t="str">
        <x:v>教程/资源/技能资产</x:v>
      </x:c>
      <x:c r="H123" s="4" t="str">
        <x:v>知识/数据资产</x:v>
      </x:c>
      <x:c r="I123" s="4" t="str">
        <x:v>Python</x:v>
      </x:c>
      <x:c r="J123" s="4" t="str">
        <x:v>中英文敏感词、语言检测、中外手机/电话归属地/运营商查询、名字推断性别、手机号抽取、身份证抽取、邮箱抽取、中日文人名库、中文缩写库、拆字词典、词汇情感值、停用词、反动词表、暴恐词表、繁简体转换、英文模拟中文发音、汪峰歌词生成器、职业名称词库、同义词库、反义词库、否定词库、汽车品牌词库、汽车零件词库、连续英文切割、各种中文词向量、公司名字大全、古诗词库、IT词库、财经词库、成语词库、地名词库、历史名…</x:v>
      </x:c>
      <x:c r="K123" s="4" t="n">
        <x:v>0</x:v>
      </x:c>
      <x:c r="L123" s="4" t="str">
        <x:v>10、11</x:v>
      </x:c>
      <x:c r="M123" s="4" t="str">
        <x:v>538</x:v>
      </x:c>
      <x:c r="N123" s="4" t="str">
        <x:v>未核验许可</x:v>
      </x:c>
      <x:c r="O123" s="12" t="n">
        <x:v>46277.17331170139</x:v>
      </x:c>
      <x:c r="P123" s="4" t="str">
        <x:v>GitHub REST Search API</x:v>
      </x:c>
      <x:c r="Q123" s="4" t="str">
        <x:v>https://github.com/fighting41love/funNLP</x:v>
      </x:c>
      <x:c r="R123" s="4" t="str">
        <x:v>PDF in:name,description stars:&gt;=5000 fork:false archived:false
machine learning in:name,description stars:&gt;=5000 fork:false archived:false</x:v>
      </x:c>
      <x:c r="S123" s="4" t="str">
        <x:v>https://api.github.com/search/repositories?q=PDF%20in%3Aname%2Cdescription%20stars%3A%3E%3D5000%20fork%3Afalse%20archived%3Afalse&amp;sort=stars&amp;order=desc&amp;per_page=5</x:v>
      </x:c>
    </x:row>
    <x:row r="124" ht="86" customHeight="1">
      <x:c r="A124" s="4" t="str">
        <x:v>unclecode/crawl4ai</x:v>
      </x:c>
      <x:c r="B124" s="11" t="n">
        <x:v>82196</x:v>
      </x:c>
      <x:c r="C124" s="4" t="n">
        <x:v>12</x:v>
      </x:c>
      <x:c r="D124" s="4" t="str">
        <x:v>办公软件与桌面操作自动化</x:v>
      </x:c>
      <x:c r="E124" s="4" t="str">
        <x:v>元数据已核验</x:v>
      </x:c>
      <x:c r="F124" s="4" t="n">
        <x:v>1</x:v>
      </x:c>
      <x:c r="G124" s="4" t="str">
        <x:v>软件项目</x:v>
      </x:c>
      <x:c r="H124" s="4" t="str">
        <x:v>办公/浏览器执行</x:v>
      </x:c>
      <x:c r="I124" s="4" t="str">
        <x:v>Python</x:v>
      </x:c>
      <x:c r="J124" s="4" t="str">
        <x:v>🚀🤖 Crawl4AI: Open-source LLM Friendly Web Crawler &amp; Scraper. Don't be shy, join here: https://discord.gg/jP8KfhDhyN</x:v>
      </x:c>
      <x:c r="K124" s="4" t="n">
        <x:v>0</x:v>
      </x:c>
      <x:c r="L124" s="4" t="str">
        <x:v>03</x:v>
      </x:c>
      <x:c r="M124" s="4" t="str">
        <x:v>398</x:v>
      </x:c>
      <x:c r="N124" s="4" t="str">
        <x:v>Apache-2.0</x:v>
      </x:c>
      <x:c r="O124" s="12" t="n">
        <x:v>46277.171088310184</x:v>
      </x:c>
      <x:c r="P124" s="4" t="str">
        <x:v>GitHub REST Search API</x:v>
      </x:c>
      <x:c r="Q124" s="4" t="str">
        <x:v>https://github.com/unclecode/crawl4ai</x:v>
      </x:c>
      <x:c r="R124" s="4" t="str">
        <x:v>http in:name,description stars:&gt;=5000 fork:false archived:false</x:v>
      </x:c>
      <x:c r="S124" s="4" t="str">
        <x:v>https://api.github.com/search/repositories?q=http%20in%3Aname%2Cdescription%20stars%3A%3E%3D5000%20fork%3Afalse%20archived%3Afalse&amp;sort=stars&amp;order=desc&amp;per_page=5</x:v>
      </x:c>
    </x:row>
    <x:row r="125" ht="86" customHeight="1">
      <x:c r="A125" s="4" t="str">
        <x:v>spring-projects/spring-boot</x:v>
      </x:c>
      <x:c r="B125" s="11" t="n">
        <x:v>81423</x:v>
      </x:c>
      <x:c r="C125" s="4" t="n">
        <x:v>6</x:v>
      </x:c>
      <x:c r="D125" s="4" t="str">
        <x:v>后端服务与业务流程</x:v>
      </x:c>
      <x:c r="E125" s="4" t="str">
        <x:v>元数据已核验</x:v>
      </x:c>
      <x:c r="F125" s="4" t="n">
        <x:v>1</x:v>
      </x:c>
      <x:c r="G125" s="4" t="str">
        <x:v>软件项目</x:v>
      </x:c>
      <x:c r="H125" s="4" t="str">
        <x:v>业务应用/确定性工作流</x:v>
      </x:c>
      <x:c r="I125" s="4" t="str">
        <x:v>未获取/未识别</x:v>
      </x:c>
      <x:c r="J125" s="4" t="str">
        <x:v>Spring Boot helps you to create Spring-powered, production-grade applications and services with absolute minimum fuss. - spring-projects/spring-boot</x:v>
      </x:c>
      <x:c r="K125" s="4" t="n">
        <x:v>0</x:v>
      </x:c>
      <x:c r="L125" s="4" t="str">
        <x:v>补充代表项目</x:v>
      </x:c>
      <x:c r="M125" s="4" t="str"/>
      <x:c r="N125" s="4" t="str">
        <x:v>未核验许可</x:v>
      </x:c>
      <x:c r="O125" s="12" t="n">
        <x:v>46277.17267033565</x:v>
      </x:c>
      <x:c r="P125" s="4" t="str">
        <x:v>GitHub公开HTML精确title星数</x:v>
      </x:c>
      <x:c r="Q125" s="4" t="str">
        <x:v>https://github.com/spring-projects/spring-boot</x:v>
      </x:c>
      <x:c r="R125" s="4" t="str">
        <x:v>定向补充；非随机抽样</x:v>
      </x:c>
      <x:c r="S125" s="4" t="str">
        <x:v>https://github.com/spring-projects/spring-boot</x:v>
      </x:c>
    </x:row>
    <x:row r="126" ht="86" customHeight="1">
      <x:c r="A126" s="4" t="str">
        <x:v>swisskyrepo/PayloadsAllTheThings</x:v>
      </x:c>
      <x:c r="B126" s="11" t="n">
        <x:v>80812</x:v>
      </x:c>
      <x:c r="C126" s="4"/>
      <x:c r="D126" s="4" t="str">
        <x:v>未归入15类</x:v>
      </x:c>
      <x:c r="E126" s="4" t="str">
        <x:v>范围排除</x:v>
      </x:c>
      <x:c r="F126" s="4" t="n">
        <x:v>0</x:v>
      </x:c>
      <x:c r="G126" s="4" t="str">
        <x:v>教程/资源/技能资产</x:v>
      </x:c>
      <x:c r="H126" s="4" t="str">
        <x:v>知识/数据资产</x:v>
      </x:c>
      <x:c r="I126" s="4" t="str">
        <x:v>Python</x:v>
      </x:c>
      <x:c r="J126" s="4" t="str">
        <x:v>A list of useful payloads and bypass for Web Application Security and Pentest/CTF</x:v>
      </x:c>
      <x:c r="K126" s="4" t="n">
        <x:v>0</x:v>
      </x:c>
      <x:c r="L126" s="4" t="str">
        <x:v>04</x:v>
      </x:c>
      <x:c r="M126" s="4" t="str"/>
      <x:c r="N126" s="4" t="str">
        <x:v>MIT</x:v>
      </x:c>
      <x:c r="O126" s="12" t="n">
        <x:v>46277.171094722224</x:v>
      </x:c>
      <x:c r="P126" s="4" t="str">
        <x:v>GitHub REST Search API</x:v>
      </x:c>
      <x:c r="Q126" s="4" t="str">
        <x:v>https://github.com/swisskyrepo/PayloadsAllTheThings</x:v>
      </x:c>
      <x:c r="R126" s="4" t="str">
        <x:v>security in:name,description stars:&gt;=5000 fork:false archived:false</x:v>
      </x:c>
      <x:c r="S126" s="4" t="str">
        <x:v>https://api.github.com/search/repositories?q=security%20in%3Aname%2Cdescription%20stars%3A%3E%3D5000%20fork%3Afalse%20archived%3Afalse&amp;sort=stars&amp;order=desc&amp;per_page=5</x:v>
      </x:c>
    </x:row>
    <x:row r="127" ht="86" customHeight="1">
      <x:c r="A127" s="4" t="str">
        <x:v>doocs/advanced-java</x:v>
      </x:c>
      <x:c r="B127" s="11" t="n">
        <x:v>79108</x:v>
      </x:c>
      <x:c r="C127" s="4" t="n">
        <x:v>6</x:v>
      </x:c>
      <x:c r="D127" s="4" t="str">
        <x:v>后端服务与业务流程</x:v>
      </x:c>
      <x:c r="E127" s="4" t="str">
        <x:v>规则候选待复核</x:v>
      </x:c>
      <x:c r="F127" s="4" t="n">
        <x:v>1</x:v>
      </x:c>
      <x:c r="G127" s="4" t="str">
        <x:v>软件项目</x:v>
      </x:c>
      <x:c r="H127" s="4" t="str">
        <x:v>跨类边界待复核</x:v>
      </x:c>
      <x:c r="I127" s="4" t="str">
        <x:v>Java</x:v>
      </x:c>
      <x:c r="J127" s="4" t="str">
        <x:v>😮 Core Interview Questions &amp; Answers For Experienced Java(Backend) Developers | 互联网 Java 工程师进阶知识完全扫盲：涵盖高并发、分布式、高可用、微服务、海量数据处理等领域知识</x:v>
      </x:c>
      <x:c r="K127" s="4" t="n">
        <x:v>0</x:v>
      </x:c>
      <x:c r="L127" s="4" t="str">
        <x:v>06</x:v>
      </x:c>
      <x:c r="M127" s="4" t="str"/>
      <x:c r="N127" s="4" t="str">
        <x:v>CC-BY-SA-4.0</x:v>
      </x:c>
      <x:c r="O127" s="12" t="n">
        <x:v>46277.17110724537</x:v>
      </x:c>
      <x:c r="P127" s="4" t="str">
        <x:v>GitHub REST Search API</x:v>
      </x:c>
      <x:c r="Q127" s="4" t="str">
        <x:v>https://github.com/doocs/advanced-java</x:v>
      </x:c>
      <x:c r="R127" s="4" t="str">
        <x:v>backend in:name,description stars:&gt;=5000 fork:false archived:false</x:v>
      </x:c>
      <x:c r="S127" s="4" t="str">
        <x:v>https://api.github.com/search/repositories?q=backend%20in%3Aname%2Cdescription%20stars%3A%3E%3D5000%20fork%3Afalse%20archived%3Afalse&amp;sort=stars&amp;order=desc&amp;per_page=5</x:v>
      </x:c>
    </x:row>
    <x:row r="128" ht="86" customHeight="1">
      <x:c r="A128" s="4" t="str">
        <x:v>grafana/grafana</x:v>
      </x:c>
      <x:c r="B128" s="11" t="n">
        <x:v>76702</x:v>
      </x:c>
      <x:c r="C128" s="4" t="n">
        <x:v>15</x:v>
      </x:c>
      <x:c r="D128" s="4" t="str">
        <x:v>部署运维与可观测性</x:v>
      </x:c>
      <x:c r="E128" s="4" t="str">
        <x:v>元数据已核验</x:v>
      </x:c>
      <x:c r="F128" s="4" t="n">
        <x:v>1</x:v>
      </x:c>
      <x:c r="G128" s="4" t="str">
        <x:v>软件项目</x:v>
      </x:c>
      <x:c r="H128" s="4" t="str">
        <x:v>运维/可观测性</x:v>
      </x:c>
      <x:c r="I128" s="4" t="str">
        <x:v>TypeScript</x:v>
      </x:c>
      <x:c r="J128" s="4" t="str">
        <x:v>The open and composable observability and data visualization platform. Visualize metrics, logs, and traces from multiple sources like Prometheus, Loki, Elasticsearch, InfluxDB, Postgres and many more.…</x:v>
      </x:c>
      <x:c r="K128" s="4" t="n">
        <x:v>0</x:v>
      </x:c>
      <x:c r="L128" s="4" t="str">
        <x:v>01</x:v>
      </x:c>
      <x:c r="M128" s="4" t="str"/>
      <x:c r="N128" s="4" t="str">
        <x:v>AGPL-3.0</x:v>
      </x:c>
      <x:c r="O128" s="12" t="n">
        <x:v>46277.17107640046</x:v>
      </x:c>
      <x:c r="P128" s="4" t="str">
        <x:v>GitHub REST Search API</x:v>
      </x:c>
      <x:c r="Q128" s="4" t="str">
        <x:v>https://github.com/grafana/grafana</x:v>
      </x:c>
      <x:c r="R128" s="4" t="str">
        <x:v>logging in:name,description stars:&gt;=5000 fork:false archived:false</x:v>
      </x:c>
      <x:c r="S128" s="4" t="str">
        <x:v>https://api.github.com/search/repositories?q=logging%20in%3Aname%2Cdescription%20stars%3A%3E%3D5000%20fork%3Afalse%20archived%3Afalse&amp;sort=stars&amp;order=desc&amp;per_page=5</x:v>
      </x:c>
    </x:row>
    <x:row r="129" ht="86" customHeight="1">
      <x:c r="A129" s="4" t="str">
        <x:v>josephmisiti/awesome-machine-learning</x:v>
      </x:c>
      <x:c r="B129" s="11" t="n">
        <x:v>74305</x:v>
      </x:c>
      <x:c r="C129" s="4"/>
      <x:c r="D129" s="4" t="str">
        <x:v>未归入15类</x:v>
      </x:c>
      <x:c r="E129" s="4" t="str">
        <x:v>范围排除</x:v>
      </x:c>
      <x:c r="F129" s="4" t="n">
        <x:v>0</x:v>
      </x:c>
      <x:c r="G129" s="4" t="str">
        <x:v>教程/资源/技能资产</x:v>
      </x:c>
      <x:c r="H129" s="4" t="str">
        <x:v>知识/数据资产</x:v>
      </x:c>
      <x:c r="I129" s="4" t="str">
        <x:v>Python</x:v>
      </x:c>
      <x:c r="J129" s="4" t="str">
        <x:v>A curated list of awesome Machine Learning frameworks, libraries and software.</x:v>
      </x:c>
      <x:c r="K129" s="4" t="n">
        <x:v>0</x:v>
      </x:c>
      <x:c r="L129" s="4" t="str">
        <x:v>11</x:v>
      </x:c>
      <x:c r="M129" s="4" t="str"/>
      <x:c r="N129" s="4" t="str">
        <x:v>NOASSERTION</x:v>
      </x:c>
      <x:c r="O129" s="12" t="n">
        <x:v>46277.17332342592</x:v>
      </x:c>
      <x:c r="P129" s="4" t="str">
        <x:v>GitHub REST Search API</x:v>
      </x:c>
      <x:c r="Q129" s="4" t="str">
        <x:v>https://github.com/josephmisiti/awesome-machine-learning</x:v>
      </x:c>
      <x:c r="R129" s="4" t="str">
        <x:v>machine learning in:name,description stars:&gt;=5000 fork:false archived:false</x:v>
      </x:c>
      <x:c r="S129" s="4" t="str">
        <x:v>https://api.github.com/search/repositories?q=machine%20learning%20in%3Aname%2Cdescription%20stars%3A%3E%3D5000%20fork%3Afalse%20archived%3Afalse&amp;sort=stars&amp;order=desc&amp;per_page=5</x:v>
      </x:c>
    </x:row>
    <x:row r="130" ht="86" customHeight="1">
      <x:c r="A130" s="4" t="str">
        <x:v>unionlabs/union</x:v>
      </x:c>
      <x:c r="B130" s="11" t="n">
        <x:v>73802</x:v>
      </x:c>
      <x:c r="C130" s="4"/>
      <x:c r="D130" s="4" t="str">
        <x:v>未归入15类</x:v>
      </x:c>
      <x:c r="E130" s="4" t="str">
        <x:v>范围待决</x:v>
      </x:c>
      <x:c r="F130" s="4" t="n">
        <x:v>1</x:v>
      </x:c>
      <x:c r="G130" s="4" t="str">
        <x:v>软件项目</x:v>
      </x:c>
      <x:c r="H130" s="4" t="str">
        <x:v>区块链/分布式信任</x:v>
      </x:c>
      <x:c r="I130" s="4" t="str">
        <x:v>Rust</x:v>
      </x:c>
      <x:c r="J130" s="4" t="str">
        <x:v>The trust-minimized, zero-knowledge bridging protocol, designed for censorship resistance, extremely high security, and usage in decentralized finance.</x:v>
      </x:c>
      <x:c r="K130" s="4" t="n">
        <x:v>0</x:v>
      </x:c>
      <x:c r="L130" s="4" t="str">
        <x:v>04</x:v>
      </x:c>
      <x:c r="M130" s="4" t="str"/>
      <x:c r="N130" s="4" t="str">
        <x:v>Apache-2.0</x:v>
      </x:c>
      <x:c r="O130" s="12" t="n">
        <x:v>46277.171094722224</x:v>
      </x:c>
      <x:c r="P130" s="4" t="str">
        <x:v>GitHub REST Search API</x:v>
      </x:c>
      <x:c r="Q130" s="4" t="str">
        <x:v>https://github.com/unionlabs/union</x:v>
      </x:c>
      <x:c r="R130" s="4" t="str">
        <x:v>security in:name,description stars:&gt;=5000 fork:false archived:false</x:v>
      </x:c>
      <x:c r="S130" s="4" t="str">
        <x:v>https://api.github.com/search/repositories?q=security%20in%3Aname%2Cdescription%20stars%3A%3E%3D5000%20fork%3Afalse%20archived%3Afalse&amp;sort=stars&amp;order=desc&amp;per_page=5</x:v>
      </x:c>
    </x:row>
    <x:row r="131" ht="86" customHeight="1">
      <x:c r="A131" s="4" t="str">
        <x:v>danielmiessler/SecLists</x:v>
      </x:c>
      <x:c r="B131" s="11" t="n">
        <x:v>73452</x:v>
      </x:c>
      <x:c r="C131" s="4"/>
      <x:c r="D131" s="4" t="str">
        <x:v>未归入15类</x:v>
      </x:c>
      <x:c r="E131" s="4" t="str">
        <x:v>范围排除</x:v>
      </x:c>
      <x:c r="F131" s="4" t="n">
        <x:v>0</x:v>
      </x:c>
      <x:c r="G131" s="4" t="str">
        <x:v>教程/资源/技能资产</x:v>
      </x:c>
      <x:c r="H131" s="4" t="str">
        <x:v>知识/数据资产</x:v>
      </x:c>
      <x:c r="I131" s="4" t="str">
        <x:v>PHP</x:v>
      </x:c>
      <x:c r="J131" s="4" t="str">
        <x:v>SecLists is the security tester's companion. It's a collection of multiple types of lists used during security assessments, collected in one place. List types include usernames, passwords, URLs, sensi…</x:v>
      </x:c>
      <x:c r="K131" s="4" t="n">
        <x:v>0</x:v>
      </x:c>
      <x:c r="L131" s="4" t="str">
        <x:v>04</x:v>
      </x:c>
      <x:c r="M131" s="4" t="str"/>
      <x:c r="N131" s="4" t="str">
        <x:v>MIT</x:v>
      </x:c>
      <x:c r="O131" s="12" t="n">
        <x:v>46277.171094722224</x:v>
      </x:c>
      <x:c r="P131" s="4" t="str">
        <x:v>GitHub REST Search API</x:v>
      </x:c>
      <x:c r="Q131" s="4" t="str">
        <x:v>https://github.com/danielmiessler/SecLists</x:v>
      </x:c>
      <x:c r="R131" s="4" t="str">
        <x:v>security in:name,description stars:&gt;=5000 fork:false archived:false</x:v>
      </x:c>
      <x:c r="S131" s="4" t="str">
        <x:v>https://api.github.com/search/repositories?q=security%20in%3Aname%2Cdescription%20stars%3A%3E%3D5000%20fork%3Afalse%20archived%3Afalse&amp;sort=stars&amp;order=desc&amp;per_page=5</x:v>
      </x:c>
    </x:row>
    <x:row r="132" ht="86" customHeight="1">
      <x:c r="A132" s="4" t="str">
        <x:v>headroomlabs-ai/headroom</x:v>
      </x:c>
      <x:c r="B132" s="11" t="n">
        <x:v>71615</x:v>
      </x:c>
      <x:c r="C132" s="4" t="n">
        <x:v>13</x:v>
      </x:c>
      <x:c r="D132" s="4" t="str">
        <x:v>Agent编排与工具执行</x:v>
      </x:c>
      <x:c r="E132" s="4" t="str">
        <x:v>元数据已核验</x:v>
      </x:c>
      <x:c r="F132" s="4" t="n">
        <x:v>1</x:v>
      </x:c>
      <x:c r="G132" s="4" t="str">
        <x:v>软件项目</x:v>
      </x:c>
      <x:c r="H132" s="4" t="str">
        <x:v>Agent/模型与工具</x:v>
      </x:c>
      <x:c r="I132" s="4" t="str">
        <x:v>Python</x:v>
      </x:c>
      <x:c r="J132" s="4" t="str">
        <x:v>Compress tool outputs, logs, files, and RAG chunks before they reach the LLM. 20% fewer tokens for coding agents, 60-95% fewer tokens for JSON, same answers. Library, proxy, MCP server.</x:v>
      </x:c>
      <x:c r="K132" s="4" t="n">
        <x:v>0</x:v>
      </x:c>
      <x:c r="L132" s="4" t="str">
        <x:v>01</x:v>
      </x:c>
      <x:c r="M132" s="4" t="str"/>
      <x:c r="N132" s="4" t="str">
        <x:v>Apache-2.0</x:v>
      </x:c>
      <x:c r="O132" s="12" t="n">
        <x:v>46277.17107640046</x:v>
      </x:c>
      <x:c r="P132" s="4" t="str">
        <x:v>GitHub REST Search API</x:v>
      </x:c>
      <x:c r="Q132" s="4" t="str">
        <x:v>https://github.com/headroomlabs-ai/headroom</x:v>
      </x:c>
      <x:c r="R132" s="4" t="str">
        <x:v>logging in:name,description stars:&gt;=5000 fork:false archived:false</x:v>
      </x:c>
      <x:c r="S132" s="4" t="str">
        <x:v>https://api.github.com/search/repositories?q=logging%20in%3Aname%2Cdescription%20stars%3A%3E%3D5000%20fork%3Afalse%20archived%3Afalse&amp;sort=stars&amp;order=desc&amp;per_page=5</x:v>
      </x:c>
    </x:row>
    <x:row r="133" ht="86" customHeight="1">
      <x:c r="A133" s="4" t="str">
        <x:v>ansible/ansible</x:v>
      </x:c>
      <x:c r="B133" s="11" t="n">
        <x:v>70661</x:v>
      </x:c>
      <x:c r="C133" s="4" t="n">
        <x:v>15</x:v>
      </x:c>
      <x:c r="D133" s="4" t="str">
        <x:v>部署运维与可观测性</x:v>
      </x:c>
      <x:c r="E133" s="4" t="str">
        <x:v>元数据已核验</x:v>
      </x:c>
      <x:c r="F133" s="4" t="n">
        <x:v>1</x:v>
      </x:c>
      <x:c r="G133" s="4" t="str">
        <x:v>软件项目</x:v>
      </x:c>
      <x:c r="H133" s="4" t="str">
        <x:v>运维/可观测性</x:v>
      </x:c>
      <x:c r="I133" s="4" t="str">
        <x:v>Python</x:v>
      </x:c>
      <x:c r="J133" s="4" t="str">
        <x:v>Ansible is a radically simple IT automation platform that makes your applications and systems easier to deploy and maintain. Automate everything from code deployment to network configuration to cloud …</x:v>
      </x:c>
      <x:c r="K133" s="4" t="n">
        <x:v>0</x:v>
      </x:c>
      <x:c r="L133" s="4" t="str">
        <x:v>12</x:v>
      </x:c>
      <x:c r="M133" s="4" t="str"/>
      <x:c r="N133" s="4" t="str">
        <x:v>GPL-3.0</x:v>
      </x:c>
      <x:c r="O133" s="12" t="n">
        <x:v>46277.17331760417</x:v>
      </x:c>
      <x:c r="P133" s="4" t="str">
        <x:v>GitHub REST Search API</x:v>
      </x:c>
      <x:c r="Q133" s="4" t="str">
        <x:v>https://github.com/ansible/ansible</x:v>
      </x:c>
      <x:c r="R133" s="4" t="str">
        <x:v>automation in:name,description stars:&gt;=5000 fork:false archived:false</x:v>
      </x:c>
      <x:c r="S133" s="4" t="str">
        <x:v>https://api.github.com/search/repositories?q=automation%20in%3Aname%2Cdescription%20stars%3A%3E%3D5000%20fork%3Afalse%20archived%3Afalse&amp;sort=stars&amp;order=desc&amp;per_page=5</x:v>
      </x:c>
    </x:row>
    <x:row r="134" ht="86" customHeight="1">
      <x:c r="A134" s="4" t="str">
        <x:v>stablyai/orca</x:v>
      </x:c>
      <x:c r="B134" s="11" t="n">
        <x:v>66882</x:v>
      </x:c>
      <x:c r="C134" s="4" t="n">
        <x:v>14</x:v>
      </x:c>
      <x:c r="D134" s="4" t="str">
        <x:v>软件构建、开发与测试</x:v>
      </x:c>
      <x:c r="E134" s="4" t="str">
        <x:v>元数据已核验</x:v>
      </x:c>
      <x:c r="F134" s="4" t="n">
        <x:v>1</x:v>
      </x:c>
      <x:c r="G134" s="4" t="str">
        <x:v>软件项目</x:v>
      </x:c>
      <x:c r="H134" s="4" t="str">
        <x:v>软件工程；编程Agent需额外挂13标签</x:v>
      </x:c>
      <x:c r="I134" s="4" t="str">
        <x:v>TypeScript</x:v>
      </x:c>
      <x:c r="J134" s="4" t="str">
        <x:v>Orca is the ADE for working with a fleet of parallel agents. Run any coding agent with your own subscription. Available on desktop, mobile and remote runtime.</x:v>
      </x:c>
      <x:c r="K134" s="4" t="n">
        <x:v>0</x:v>
      </x:c>
      <x:c r="L134" s="4" t="str">
        <x:v>02</x:v>
      </x:c>
      <x:c r="M134" s="4" t="str">
        <x:v>381</x:v>
      </x:c>
      <x:c r="N134" s="4" t="str">
        <x:v>MIT</x:v>
      </x:c>
      <x:c r="O134" s="12" t="n">
        <x:v>46277.17108263889</x:v>
      </x:c>
      <x:c r="P134" s="4" t="str">
        <x:v>GitHub REST Search API</x:v>
      </x:c>
      <x:c r="Q134" s="4" t="str">
        <x:v>https://github.com/stablyai/orca</x:v>
      </x:c>
      <x:c r="R134" s="4" t="str">
        <x:v>runtime in:name,description stars:&gt;=5000 fork:false archived:false</x:v>
      </x:c>
      <x:c r="S134" s="4" t="str">
        <x:v>https://api.github.com/search/repositories?q=runtime%20in%3Aname%2Cdescription%20stars%3A%3E%3D5000%20fork%3Afalse%20archived%3Afalse&amp;sort=stars&amp;order=desc&amp;per_page=5</x:v>
      </x:c>
    </x:row>
    <x:row r="135" ht="86" customHeight="1">
      <x:c r="A135" s="4" t="str">
        <x:v>tw93/Mole</x:v>
      </x:c>
      <x:c r="B135" s="11" t="n">
        <x:v>66868</x:v>
      </x:c>
      <x:c r="C135" s="4" t="n">
        <x:v>2</x:v>
      </x:c>
      <x:c r="D135" s="4" t="str">
        <x:v>系统资源与原生互操作</x:v>
      </x:c>
      <x:c r="E135" s="4" t="str">
        <x:v>元数据已核验</x:v>
      </x:c>
      <x:c r="F135" s="4" t="n">
        <x:v>1</x:v>
      </x:c>
      <x:c r="G135" s="4" t="str">
        <x:v>软件项目</x:v>
      </x:c>
      <x:c r="H135" s="4" t="str">
        <x:v>原生/系统接口</x:v>
      </x:c>
      <x:c r="I135" s="4" t="str">
        <x:v>Shell</x:v>
      </x:c>
      <x:c r="J135" s="4" t="str">
        <x:v>🐹 Clean, uninstall, analyze, optimize, and monitor your Mac. Free open-source CLI, plus a native Mac app.</x:v>
      </x:c>
      <x:c r="K135" s="4" t="n">
        <x:v>0</x:v>
      </x:c>
      <x:c r="L135" s="4" t="str">
        <x:v>15</x:v>
      </x:c>
      <x:c r="M135" s="4" t="str">
        <x:v>394</x:v>
      </x:c>
      <x:c r="N135" s="4" t="str">
        <x:v>GPL-3.0</x:v>
      </x:c>
      <x:c r="O135" s="12" t="n">
        <x:v>46277.173341608795</x:v>
      </x:c>
      <x:c r="P135" s="4" t="str">
        <x:v>GitHub REST Search API</x:v>
      </x:c>
      <x:c r="Q135" s="4" t="str">
        <x:v>https://github.com/tw93/Mole</x:v>
      </x:c>
      <x:c r="R135" s="4" t="str">
        <x:v>monitoring in:name,description stars:&gt;=5000 fork:false archived:false</x:v>
      </x:c>
      <x:c r="S135" s="4" t="str">
        <x:v>https://api.github.com/search/repositories?q=monitoring%20in%3Aname%2Cdescription%20stars%3A%3E%3D5000%20fork%3Afalse%20archived%3Afalse&amp;sort=stars&amp;order=desc&amp;per_page=5</x:v>
      </x:c>
    </x:row>
    <x:row r="136" ht="86" customHeight="1">
      <x:c r="A136" s="4" t="str">
        <x:v>prometheus/prometheus</x:v>
      </x:c>
      <x:c r="B136" s="11" t="n">
        <x:v>66047</x:v>
      </x:c>
      <x:c r="C136" s="4" t="n">
        <x:v>15</x:v>
      </x:c>
      <x:c r="D136" s="4" t="str">
        <x:v>部署运维与可观测性</x:v>
      </x:c>
      <x:c r="E136" s="4" t="str">
        <x:v>元数据已核验</x:v>
      </x:c>
      <x:c r="F136" s="4" t="n">
        <x:v>1</x:v>
      </x:c>
      <x:c r="G136" s="4" t="str">
        <x:v>软件项目</x:v>
      </x:c>
      <x:c r="H136" s="4" t="str">
        <x:v>运维/可观测性</x:v>
      </x:c>
      <x:c r="I136" s="4" t="str">
        <x:v>Go</x:v>
      </x:c>
      <x:c r="J136" s="4" t="str">
        <x:v>The Prometheus monitoring system and time series database.</x:v>
      </x:c>
      <x:c r="K136" s="4" t="n">
        <x:v>0</x:v>
      </x:c>
      <x:c r="L136" s="4" t="str">
        <x:v>05、15</x:v>
      </x:c>
      <x:c r="M136" s="4" t="str"/>
      <x:c r="N136" s="4" t="str">
        <x:v>Apache-2.0</x:v>
      </x:c>
      <x:c r="O136" s="12" t="n">
        <x:v>46277.17110076389</x:v>
      </x:c>
      <x:c r="P136" s="4" t="str">
        <x:v>GitHub REST Search API</x:v>
      </x:c>
      <x:c r="Q136" s="4" t="str">
        <x:v>https://github.com/prometheus/prometheus</x:v>
      </x:c>
      <x:c r="R136" s="4" t="str">
        <x:v>database in:name,description stars:&gt;=5000 fork:false archived:false
monitoring in:name,description stars:&gt;=5000 fork:false archived:false</x:v>
      </x:c>
      <x:c r="S136" s="4" t="str">
        <x:v>https://api.github.com/search/repositories?q=database%20in%3Aname%2Cdescription%20stars%3A%3E%3D5000%20fork%3Afalse%20archived%3Afalse&amp;sort=stars&amp;order=desc&amp;per_page=5</x:v>
      </x:c>
    </x:row>
    <x:row r="137" ht="86" customHeight="1">
      <x:c r="A137" s="4" t="str">
        <x:v>FFmpeg/FFmpeg</x:v>
      </x:c>
      <x:c r="B137" s="11" t="n">
        <x:v>64138</x:v>
      </x:c>
      <x:c r="C137" s="4" t="n">
        <x:v>9</x:v>
      </x:c>
      <x:c r="D137" s="4" t="str">
        <x:v>图形、多媒体与实时应用</x:v>
      </x:c>
      <x:c r="E137" s="4" t="str">
        <x:v>元数据已核验</x:v>
      </x:c>
      <x:c r="F137" s="4" t="n">
        <x:v>1</x:v>
      </x:c>
      <x:c r="G137" s="4" t="str">
        <x:v>软件项目</x:v>
      </x:c>
      <x:c r="H137" s="4" t="str">
        <x:v>媒体/图形</x:v>
      </x:c>
      <x:c r="I137" s="4" t="str">
        <x:v>未获取/未识别</x:v>
      </x:c>
      <x:c r="J137" s="4" t="str">
        <x:v>Mirror of https://git.ffmpeg.org/ffmpeg.git. Contribute to FFmpeg/FFmpeg development by creating an account on GitHub.</x:v>
      </x:c>
      <x:c r="K137" s="4" t="n">
        <x:v>0</x:v>
      </x:c>
      <x:c r="L137" s="4" t="str">
        <x:v>补充代表项目</x:v>
      </x:c>
      <x:c r="M137" s="4" t="str"/>
      <x:c r="N137" s="4" t="str">
        <x:v>未核验许可</x:v>
      </x:c>
      <x:c r="O137" s="12" t="n">
        <x:v>46277.17261324074</x:v>
      </x:c>
      <x:c r="P137" s="4" t="str">
        <x:v>GitHub公开HTML精确title星数</x:v>
      </x:c>
      <x:c r="Q137" s="4" t="str">
        <x:v>https://github.com/FFmpeg/FFmpeg</x:v>
      </x:c>
      <x:c r="R137" s="4" t="str">
        <x:v>定向补充；非随机抽样</x:v>
      </x:c>
      <x:c r="S137" s="4" t="str">
        <x:v>https://github.com/FFmpeg/FFmpeg</x:v>
      </x:c>
    </x:row>
    <x:row r="138" ht="86" customHeight="1">
      <x:c r="A138" s="4" t="str">
        <x:v>coollabsio/coolify</x:v>
      </x:c>
      <x:c r="B138" s="11" t="n">
        <x:v>61691</x:v>
      </x:c>
      <x:c r="C138" s="4" t="n">
        <x:v>15</x:v>
      </x:c>
      <x:c r="D138" s="4" t="str">
        <x:v>部署运维与可观测性</x:v>
      </x:c>
      <x:c r="E138" s="4" t="str">
        <x:v>元数据已核验</x:v>
      </x:c>
      <x:c r="F138" s="4" t="n">
        <x:v>1</x:v>
      </x:c>
      <x:c r="G138" s="4" t="str">
        <x:v>软件项目</x:v>
      </x:c>
      <x:c r="H138" s="4" t="str">
        <x:v>运维/可观测性</x:v>
      </x:c>
      <x:c r="I138" s="4" t="str">
        <x:v>PHP</x:v>
      </x:c>
      <x:c r="J138" s="4" t="str">
        <x:v>An open-source, self-hostable PaaS alternative to Vercel, Heroku &amp; Netlify that lets you easily deploy static sites, databases, full-stack applications and 280+ one-click services on your own servers.</x:v>
      </x:c>
      <x:c r="K138" s="4" t="n">
        <x:v>0</x:v>
      </x:c>
      <x:c r="L138" s="4" t="str">
        <x:v>05</x:v>
      </x:c>
      <x:c r="M138" s="4" t="str">
        <x:v>174</x:v>
      </x:c>
      <x:c r="N138" s="4" t="str">
        <x:v>Apache-2.0</x:v>
      </x:c>
      <x:c r="O138" s="12" t="n">
        <x:v>46277.17110076389</x:v>
      </x:c>
      <x:c r="P138" s="4" t="str">
        <x:v>GitHub REST Search API</x:v>
      </x:c>
      <x:c r="Q138" s="4" t="str">
        <x:v>https://github.com/coollabsio/coolify</x:v>
      </x:c>
      <x:c r="R138" s="4" t="str">
        <x:v>database in:name,description stars:&gt;=5000 fork:false archived:false</x:v>
      </x:c>
      <x:c r="S138" s="4" t="str">
        <x:v>https://api.github.com/search/repositories?q=database%20in%3Aname%2Cdescription%20stars%3A%3E%3D5000%20fork%3Afalse%20archived%3Afalse&amp;sort=stars&amp;order=desc&amp;per_page=5</x:v>
      </x:c>
    </x:row>
    <x:row r="139" ht="86" customHeight="1">
      <x:c r="A139" s="4" t="str">
        <x:v>pocketbase/pocketbase</x:v>
      </x:c>
      <x:c r="B139" s="11" t="n">
        <x:v>61018</x:v>
      </x:c>
      <x:c r="C139" s="4" t="n">
        <x:v>6</x:v>
      </x:c>
      <x:c r="D139" s="4" t="str">
        <x:v>后端服务与业务流程</x:v>
      </x:c>
      <x:c r="E139" s="4" t="str">
        <x:v>元数据已核验</x:v>
      </x:c>
      <x:c r="F139" s="4" t="n">
        <x:v>1</x:v>
      </x:c>
      <x:c r="G139" s="4" t="str">
        <x:v>软件项目</x:v>
      </x:c>
      <x:c r="H139" s="4" t="str">
        <x:v>业务应用/确定性工作流</x:v>
      </x:c>
      <x:c r="I139" s="4" t="str">
        <x:v>Go</x:v>
      </x:c>
      <x:c r="J139" s="4" t="str">
        <x:v>Open Source realtime backend in 1 file</x:v>
      </x:c>
      <x:c r="K139" s="4" t="n">
        <x:v>0</x:v>
      </x:c>
      <x:c r="L139" s="4" t="str">
        <x:v>06</x:v>
      </x:c>
      <x:c r="M139" s="4" t="str">
        <x:v>346</x:v>
      </x:c>
      <x:c r="N139" s="4" t="str">
        <x:v>MIT</x:v>
      </x:c>
      <x:c r="O139" s="12" t="n">
        <x:v>46277.17110724537</x:v>
      </x:c>
      <x:c r="P139" s="4" t="str">
        <x:v>GitHub REST Search API</x:v>
      </x:c>
      <x:c r="Q139" s="4" t="str">
        <x:v>https://github.com/pocketbase/pocketbase</x:v>
      </x:c>
      <x:c r="R139" s="4" t="str">
        <x:v>backend in:name,description stars:&gt;=5000 fork:false archived:false</x:v>
      </x:c>
      <x:c r="S139" s="4" t="str">
        <x:v>https://api.github.com/search/repositories?q=backend%20in%3Aname%2Cdescription%20stars%3A%3E%3D5000%20fork%3Afalse%20archived%3Afalse&amp;sort=stars&amp;order=desc&amp;per_page=5</x:v>
      </x:c>
    </x:row>
    <x:row r="140" ht="86" customHeight="1">
      <x:c r="A140" s="4" t="str">
        <x:v>BerriAI/litellm</x:v>
      </x:c>
      <x:c r="B140" s="11" t="n">
        <x:v>58538</x:v>
      </x:c>
      <x:c r="C140" s="4" t="n">
        <x:v>11</x:v>
      </x:c>
      <x:c r="D140" s="4" t="str">
        <x:v>AI模型与机器学习</x:v>
      </x:c>
      <x:c r="E140" s="4" t="str">
        <x:v>元数据已核验</x:v>
      </x:c>
      <x:c r="F140" s="4" t="n">
        <x:v>1</x:v>
      </x:c>
      <x:c r="G140" s="4" t="str">
        <x:v>软件项目</x:v>
      </x:c>
      <x:c r="H140" s="4" t="str">
        <x:v>AI模型/推理</x:v>
      </x:c>
      <x:c r="I140" s="4" t="str">
        <x:v>Python</x:v>
      </x:c>
      <x:c r="J140" s="4" t="str">
        <x:v>The fastest, litest AI Gateway. Rust core with Python SDK. Call 100+ LLM APIs in OpenAI (or native) format with cost tracking, guardrails, load balancing, and logging [Bedrock, Azure, OpenAI, Anthropi…</x:v>
      </x:c>
      <x:c r="K140" s="4" t="n">
        <x:v>0</x:v>
      </x:c>
      <x:c r="L140" s="4" t="str">
        <x:v>01</x:v>
      </x:c>
      <x:c r="M140" s="4" t="str">
        <x:v>15</x:v>
      </x:c>
      <x:c r="N140" s="4" t="str">
        <x:v>NOASSERTION</x:v>
      </x:c>
      <x:c r="O140" s="12" t="n">
        <x:v>46277.17107640046</x:v>
      </x:c>
      <x:c r="P140" s="4" t="str">
        <x:v>GitHub REST Search API</x:v>
      </x:c>
      <x:c r="Q140" s="4" t="str">
        <x:v>https://github.com/BerriAI/litellm</x:v>
      </x:c>
      <x:c r="R140" s="4" t="str">
        <x:v>logging in:name,description stars:&gt;=5000 fork:false archived:false</x:v>
      </x:c>
      <x:c r="S140" s="4" t="str">
        <x:v>https://api.github.com/search/repositories?q=logging%20in%3Aname%2Cdescription%20stars%3A%3E%3D5000%20fork%3Afalse%20archived%3Afalse&amp;sort=stars&amp;order=desc&amp;per_page=5</x:v>
      </x:c>
    </x:row>
    <x:row r="141" ht="86" customHeight="1">
      <x:c r="A141" s="4" t="str">
        <x:v>appwrite/appwrite</x:v>
      </x:c>
      <x:c r="B141" s="11" t="n">
        <x:v>57351</x:v>
      </x:c>
      <x:c r="C141" s="4" t="n">
        <x:v>6</x:v>
      </x:c>
      <x:c r="D141" s="4" t="str">
        <x:v>后端服务与业务流程</x:v>
      </x:c>
      <x:c r="E141" s="4" t="str">
        <x:v>元数据已核验</x:v>
      </x:c>
      <x:c r="F141" s="4" t="n">
        <x:v>1</x:v>
      </x:c>
      <x:c r="G141" s="4" t="str">
        <x:v>软件项目</x:v>
      </x:c>
      <x:c r="H141" s="4" t="str">
        <x:v>业务应用/确定性工作流</x:v>
      </x:c>
      <x:c r="I141" s="4" t="str">
        <x:v>TypeScript</x:v>
      </x:c>
      <x:c r="J141" s="4" t="str">
        <x:v>Appwrite® - complete cloud infrastructure for your web, mobile and AI apps. Including Auth, Databases, Storage, Functions, Messaging, Hosting, Realtime and more</x:v>
      </x:c>
      <x:c r="K141" s="4" t="n">
        <x:v>0</x:v>
      </x:c>
      <x:c r="L141" s="4" t="str">
        <x:v>05</x:v>
      </x:c>
      <x:c r="M141" s="4" t="str">
        <x:v>123</x:v>
      </x:c>
      <x:c r="N141" s="4" t="str">
        <x:v>BSD-3-Clause</x:v>
      </x:c>
      <x:c r="O141" s="12" t="n">
        <x:v>46277.17110076389</x:v>
      </x:c>
      <x:c r="P141" s="4" t="str">
        <x:v>GitHub REST Search API</x:v>
      </x:c>
      <x:c r="Q141" s="4" t="str">
        <x:v>https://github.com/appwrite/appwrite</x:v>
      </x:c>
      <x:c r="R141" s="4" t="str">
        <x:v>database in:name,description stars:&gt;=5000 fork:false archived:false</x:v>
      </x:c>
      <x:c r="S141" s="4" t="str">
        <x:v>https://api.github.com/search/repositories?q=database%20in%3Aname%2Cdescription%20stars%3A%3E%3D5000%20fork%3Afalse%20archived%3Afalse&amp;sort=stars&amp;order=desc&amp;per_page=5</x:v>
      </x:c>
    </x:row>
    <x:row r="142" ht="86" customHeight="1">
      <x:c r="A142" s="4" t="str">
        <x:v>jellyfin/jellyfin</x:v>
      </x:c>
      <x:c r="B142" s="11" t="n">
        <x:v>56978</x:v>
      </x:c>
      <x:c r="C142" s="4" t="n">
        <x:v>9</x:v>
      </x:c>
      <x:c r="D142" s="4" t="str">
        <x:v>图形、多媒体与实时应用</x:v>
      </x:c>
      <x:c r="E142" s="4" t="str">
        <x:v>元数据已核验</x:v>
      </x:c>
      <x:c r="F142" s="4" t="n">
        <x:v>1</x:v>
      </x:c>
      <x:c r="G142" s="4" t="str">
        <x:v>软件项目</x:v>
      </x:c>
      <x:c r="H142" s="4" t="str">
        <x:v>媒体/图形</x:v>
      </x:c>
      <x:c r="I142" s="4" t="str">
        <x:v>C#</x:v>
      </x:c>
      <x:c r="J142" s="4" t="str">
        <x:v>The Free Software Media System - Server Backend &amp; API</x:v>
      </x:c>
      <x:c r="K142" s="4" t="n">
        <x:v>0</x:v>
      </x:c>
      <x:c r="L142" s="4" t="str">
        <x:v>06</x:v>
      </x:c>
      <x:c r="M142" s="4" t="str">
        <x:v>251</x:v>
      </x:c>
      <x:c r="N142" s="4" t="str">
        <x:v>GPL-2.0</x:v>
      </x:c>
      <x:c r="O142" s="12" t="n">
        <x:v>46277.17110724537</x:v>
      </x:c>
      <x:c r="P142" s="4" t="str">
        <x:v>GitHub REST Search API</x:v>
      </x:c>
      <x:c r="Q142" s="4" t="str">
        <x:v>https://github.com/jellyfin/jellyfin</x:v>
      </x:c>
      <x:c r="R142" s="4" t="str">
        <x:v>backend in:name,description stars:&gt;=5000 fork:false archived:false</x:v>
      </x:c>
      <x:c r="S142" s="4" t="str">
        <x:v>https://api.github.com/search/repositories?q=backend%20in%3Aname%2Cdescription%20stars%3A%3E%3D5000%20fork%3Afalse%20archived%3Afalse&amp;sort=stars&amp;order=desc&amp;per_page=5</x:v>
      </x:c>
    </x:row>
    <x:row r="143" ht="86" customHeight="1">
      <x:c r="A143" s="4" t="str">
        <x:v>chinese-poetry/chinese-poetry</x:v>
      </x:c>
      <x:c r="B143" s="11" t="n">
        <x:v>53407</x:v>
      </x:c>
      <x:c r="C143" s="4"/>
      <x:c r="D143" s="4" t="str">
        <x:v>未归入15类</x:v>
      </x:c>
      <x:c r="E143" s="4" t="str">
        <x:v>范围排除</x:v>
      </x:c>
      <x:c r="F143" s="4" t="n">
        <x:v>0</x:v>
      </x:c>
      <x:c r="G143" s="4" t="str">
        <x:v>教程/资源/技能资产</x:v>
      </x:c>
      <x:c r="H143" s="4" t="str">
        <x:v>知识/数据资产</x:v>
      </x:c>
      <x:c r="I143" s="4" t="str">
        <x:v>JavaScript</x:v>
      </x:c>
      <x:c r="J143" s="4" t="str">
        <x:v>The most comprehensive database of Chinese poetry 🧶最全中华古诗词数据库,  唐宋两朝近一万四千古诗人,  接近5.5万首唐诗加26万宋诗.  两宋时期1564位词人，21050首词。</x:v>
      </x:c>
      <x:c r="K143" s="4" t="n">
        <x:v>0</x:v>
      </x:c>
      <x:c r="L143" s="4" t="str">
        <x:v>05</x:v>
      </x:c>
      <x:c r="M143" s="4" t="str"/>
      <x:c r="N143" s="4" t="str">
        <x:v>MIT</x:v>
      </x:c>
      <x:c r="O143" s="12" t="n">
        <x:v>46277.17110076389</x:v>
      </x:c>
      <x:c r="P143" s="4" t="str">
        <x:v>GitHub REST Search API</x:v>
      </x:c>
      <x:c r="Q143" s="4" t="str">
        <x:v>https://github.com/chinese-poetry/chinese-poetry</x:v>
      </x:c>
      <x:c r="R143" s="4" t="str">
        <x:v>database in:name,description stars:&gt;=5000 fork:false archived:false</x:v>
      </x:c>
      <x:c r="S143" s="4" t="str">
        <x:v>https://api.github.com/search/repositories?q=database%20in%3Aname%2Cdescription%20stars%3A%3E%3D5000%20fork%3Afalse%20archived%3Afalse&amp;sort=stars&amp;order=desc&amp;per_page=5</x:v>
      </x:c>
    </x:row>
    <x:row r="144" ht="86" customHeight="1">
      <x:c r="A144" s="4" t="str">
        <x:v>pandas-dev/pandas</x:v>
      </x:c>
      <x:c r="B144" s="11" t="n">
        <x:v>49718</x:v>
      </x:c>
      <x:c r="C144" s="4" t="n">
        <x:v>8</x:v>
      </x:c>
      <x:c r="D144" s="4" t="str">
        <x:v>数据处理与科学计算</x:v>
      </x:c>
      <x:c r="E144" s="4" t="str">
        <x:v>元数据已核验</x:v>
      </x:c>
      <x:c r="F144" s="4" t="n">
        <x:v>1</x:v>
      </x:c>
      <x:c r="G144" s="4" t="str">
        <x:v>软件项目</x:v>
      </x:c>
      <x:c r="H144" s="4" t="str">
        <x:v>数据/行业分析</x:v>
      </x:c>
      <x:c r="I144" s="4" t="str">
        <x:v>未获取/未识别</x:v>
      </x:c>
      <x:c r="J144" s="4" t="str">
        <x:v>Flexible and powerful data analysis / manipulation library for Python, providing labeled data structures similar to R data.frame objects, statistical functions, and much more - pandas-dev/pandas</x:v>
      </x:c>
      <x:c r="K144" s="4" t="n">
        <x:v>0</x:v>
      </x:c>
      <x:c r="L144" s="4" t="str">
        <x:v>补充代表项目</x:v>
      </x:c>
      <x:c r="M144" s="4" t="str">
        <x:v>566</x:v>
      </x:c>
      <x:c r="N144" s="4" t="str">
        <x:v>未核验许可</x:v>
      </x:c>
      <x:c r="O144" s="12" t="n">
        <x:v>46277.17257824074</x:v>
      </x:c>
      <x:c r="P144" s="4" t="str">
        <x:v>GitHub公开HTML精确title星数</x:v>
      </x:c>
      <x:c r="Q144" s="4" t="str">
        <x:v>https://github.com/pandas-dev/pandas</x:v>
      </x:c>
      <x:c r="R144" s="4" t="str">
        <x:v>定向补充；非随机抽样</x:v>
      </x:c>
      <x:c r="S144" s="4" t="str">
        <x:v>https://github.com/pandas-dev/pandas</x:v>
      </x:c>
    </x:row>
    <x:row r="145" ht="86" customHeight="1">
      <x:c r="A145" s="4" t="str">
        <x:v>HKUDS/nanobot</x:v>
      </x:c>
      <x:c r="B145" s="11" t="n">
        <x:v>48037</x:v>
      </x:c>
      <x:c r="C145" s="4" t="n">
        <x:v>13</x:v>
      </x:c>
      <x:c r="D145" s="4" t="str">
        <x:v>Agent编排与工具执行</x:v>
      </x:c>
      <x:c r="E145" s="4" t="str">
        <x:v>元数据已核验</x:v>
      </x:c>
      <x:c r="F145" s="4" t="n">
        <x:v>1</x:v>
      </x:c>
      <x:c r="G145" s="4" t="str">
        <x:v>软件项目</x:v>
      </x:c>
      <x:c r="H145" s="4" t="str">
        <x:v>Agent/模型与工具</x:v>
      </x:c>
      <x:c r="I145" s="4" t="str">
        <x:v>Python</x:v>
      </x:c>
      <x:c r="J145" s="4" t="str">
        <x:v>Ultra-lightweight, open-source, self-hosted personal AI agent framework in Python with WebUI, tools, memory, MCP, multi-agent workflows, automation, and chat apps</x:v>
      </x:c>
      <x:c r="K145" s="4" t="n">
        <x:v>0</x:v>
      </x:c>
      <x:c r="L145" s="4" t="str">
        <x:v>12</x:v>
      </x:c>
      <x:c r="M145" s="4" t="str"/>
      <x:c r="N145" s="4" t="str">
        <x:v>MIT</x:v>
      </x:c>
      <x:c r="O145" s="12" t="n">
        <x:v>46277.17331760417</x:v>
      </x:c>
      <x:c r="P145" s="4" t="str">
        <x:v>GitHub REST Search API</x:v>
      </x:c>
      <x:c r="Q145" s="4" t="str">
        <x:v>https://github.com/HKUDS/nanobot</x:v>
      </x:c>
      <x:c r="R145" s="4" t="str">
        <x:v>automation in:name,description stars:&gt;=5000 fork:false archived:false</x:v>
      </x:c>
      <x:c r="S145" s="4" t="str">
        <x:v>https://api.github.com/search/repositories?q=automation%20in%3Aname%2Cdescription%20stars%3A%3E%3D5000%20fork%3Afalse%20archived%3Afalse&amp;sort=stars&amp;order=desc&amp;per_page=5</x:v>
      </x:c>
    </x:row>
    <x:row r="146" ht="86" customHeight="1">
      <x:c r="A146" s="4" t="str">
        <x:v>payloadcms/payload</x:v>
      </x:c>
      <x:c r="B146" s="11" t="n">
        <x:v>44699</x:v>
      </x:c>
      <x:c r="C146" s="4" t="n">
        <x:v>6</x:v>
      </x:c>
      <x:c r="D146" s="4" t="str">
        <x:v>后端服务与业务流程</x:v>
      </x:c>
      <x:c r="E146" s="4" t="str">
        <x:v>元数据已核验</x:v>
      </x:c>
      <x:c r="F146" s="4" t="n">
        <x:v>1</x:v>
      </x:c>
      <x:c r="G146" s="4" t="str">
        <x:v>软件项目</x:v>
      </x:c>
      <x:c r="H146" s="4" t="str">
        <x:v>业务应用/确定性工作流</x:v>
      </x:c>
      <x:c r="I146" s="4" t="str">
        <x:v>TypeScript</x:v>
      </x:c>
      <x:c r="J146" s="4" t="str">
        <x:v>Payload is the open-source, fullstack Next.js framework, giving you instant backend superpowers. Get a full TypeScript backend and admin panel instantly. Use Payload as a headless CMS or for building …</x:v>
      </x:c>
      <x:c r="K146" s="4" t="n">
        <x:v>0</x:v>
      </x:c>
      <x:c r="L146" s="4" t="str">
        <x:v>06</x:v>
      </x:c>
      <x:c r="M146" s="4" t="str">
        <x:v>340</x:v>
      </x:c>
      <x:c r="N146" s="4" t="str">
        <x:v>MIT</x:v>
      </x:c>
      <x:c r="O146" s="12" t="n">
        <x:v>46277.17110724537</x:v>
      </x:c>
      <x:c r="P146" s="4" t="str">
        <x:v>GitHub REST Search API</x:v>
      </x:c>
      <x:c r="Q146" s="4" t="str">
        <x:v>https://github.com/payloadcms/payload</x:v>
      </x:c>
      <x:c r="R146" s="4" t="str">
        <x:v>backend in:name,description stars:&gt;=5000 fork:false archived:false</x:v>
      </x:c>
      <x:c r="S146" s="4" t="str">
        <x:v>https://api.github.com/search/repositories?q=backend%20in%3Aname%2Cdescription%20stars%3A%3E%3D5000%20fork%3Afalse%20archived%3Afalse&amp;sort=stars&amp;order=desc&amp;per_page=5</x:v>
      </x:c>
    </x:row>
    <x:row r="147" ht="86" customHeight="1">
      <x:c r="A147" s="4" t="str">
        <x:v>babel/babel</x:v>
      </x:c>
      <x:c r="B147" s="11" t="n">
        <x:v>43991</x:v>
      </x:c>
      <x:c r="C147" s="4" t="n">
        <x:v>14</x:v>
      </x:c>
      <x:c r="D147" s="4" t="str">
        <x:v>软件构建、开发与测试</x:v>
      </x:c>
      <x:c r="E147" s="4" t="str">
        <x:v>元数据已核验</x:v>
      </x:c>
      <x:c r="F147" s="4" t="n">
        <x:v>1</x:v>
      </x:c>
      <x:c r="G147" s="4" t="str">
        <x:v>软件项目</x:v>
      </x:c>
      <x:c r="H147" s="4" t="str">
        <x:v>软件工程；编程Agent需额外挂13标签</x:v>
      </x:c>
      <x:c r="I147" s="4" t="str">
        <x:v>TypeScript</x:v>
      </x:c>
      <x:c r="J147" s="4" t="str">
        <x:v>🐠 Babel is a compiler for writing next generation JavaScript.</x:v>
      </x:c>
      <x:c r="K147" s="4" t="n">
        <x:v>0</x:v>
      </x:c>
      <x:c r="L147" s="4" t="str">
        <x:v>14</x:v>
      </x:c>
      <x:c r="M147" s="4" t="str"/>
      <x:c r="N147" s="4" t="str">
        <x:v>MIT</x:v>
      </x:c>
      <x:c r="O147" s="12" t="n">
        <x:v>46277.17333590278</x:v>
      </x:c>
      <x:c r="P147" s="4" t="str">
        <x:v>GitHub REST Search API</x:v>
      </x:c>
      <x:c r="Q147" s="4" t="str">
        <x:v>https://github.com/babel/babel</x:v>
      </x:c>
      <x:c r="R147" s="4" t="str">
        <x:v>compiler in:name,description stars:&gt;=5000 fork:false archived:false</x:v>
      </x:c>
      <x:c r="S147" s="4" t="str">
        <x:v>https://api.github.com/search/repositories?q=compiler%20in%3Aname%2Cdescription%20stars%3A%3E%3D5000%20fork%3Afalse%20archived%3Afalse&amp;sort=stars&amp;order=desc&amp;per_page=5</x:v>
      </x:c>
    </x:row>
    <x:row r="148" ht="86" customHeight="1">
      <x:c r="A148" s="4" t="str">
        <x:v>ray-project/ray</x:v>
      </x:c>
      <x:c r="B148" s="11" t="n">
        <x:v>43785</x:v>
      </x:c>
      <x:c r="C148" s="4" t="n">
        <x:v>11</x:v>
      </x:c>
      <x:c r="D148" s="4" t="str">
        <x:v>AI模型与机器学习</x:v>
      </x:c>
      <x:c r="E148" s="4" t="str">
        <x:v>元数据已核验</x:v>
      </x:c>
      <x:c r="F148" s="4" t="n">
        <x:v>1</x:v>
      </x:c>
      <x:c r="G148" s="4" t="str">
        <x:v>软件项目</x:v>
      </x:c>
      <x:c r="H148" s="4" t="str">
        <x:v>AI模型/推理</x:v>
      </x:c>
      <x:c r="I148" s="4" t="str">
        <x:v>Python</x:v>
      </x:c>
      <x:c r="J148" s="4" t="str">
        <x:v>Ray is an AI compute engine. Ray consists of a core distributed runtime and a set of AI Libraries for accelerating ML workloads.</x:v>
      </x:c>
      <x:c r="K148" s="4" t="n">
        <x:v>0</x:v>
      </x:c>
      <x:c r="L148" s="4" t="str">
        <x:v>02</x:v>
      </x:c>
      <x:c r="M148" s="4" t="str"/>
      <x:c r="N148" s="4" t="str">
        <x:v>Apache-2.0</x:v>
      </x:c>
      <x:c r="O148" s="12" t="n">
        <x:v>46277.17108263889</x:v>
      </x:c>
      <x:c r="P148" s="4" t="str">
        <x:v>GitHub REST Search API</x:v>
      </x:c>
      <x:c r="Q148" s="4" t="str">
        <x:v>https://github.com/ray-project/ray</x:v>
      </x:c>
      <x:c r="R148" s="4" t="str">
        <x:v>runtime in:name,description stars:&gt;=5000 fork:false archived:false</x:v>
      </x:c>
      <x:c r="S148" s="4" t="str">
        <x:v>https://api.github.com/search/repositories?q=runtime%20in%3Aname%2Cdescription%20stars%3A%3E%3D5000%20fork%3Afalse%20archived%3Afalse&amp;sort=stars&amp;order=desc&amp;per_page=5</x:v>
      </x:c>
    </x:row>
    <x:row r="149" ht="86" customHeight="1">
      <x:c r="A149" s="4" t="str">
        <x:v>curl/curl</x:v>
      </x:c>
      <x:c r="B149" s="11" t="n">
        <x:v>42833</x:v>
      </x:c>
      <x:c r="C149" s="4" t="n">
        <x:v>3</x:v>
      </x:c>
      <x:c r="D149" s="4" t="str">
        <x:v>网络与通信协议</x:v>
      </x:c>
      <x:c r="E149" s="4" t="str">
        <x:v>元数据已核验</x:v>
      </x:c>
      <x:c r="F149" s="4" t="n">
        <x:v>1</x:v>
      </x:c>
      <x:c r="G149" s="4" t="str">
        <x:v>软件项目</x:v>
      </x:c>
      <x:c r="H149" s="4" t="str">
        <x:v>网络通信</x:v>
      </x:c>
      <x:c r="I149" s="4" t="str">
        <x:v>未获取/未识别</x:v>
      </x:c>
      <x:c r="J149" s="4" t="str">
        <x:v>A command line tool and library for transferring data with URL syntax, supporting DICT, FILE, FTP, FTPS, GOPHER, GOPHERS, HTTP, HTTPS, IMAP, IMAPS, LDAP, LDAPS, MQTT, MQTTS, POP3, POP3S, RTSP, SCP, SF…</x:v>
      </x:c>
      <x:c r="K149" s="4" t="n">
        <x:v>0</x:v>
      </x:c>
      <x:c r="L149" s="4" t="str">
        <x:v>补充代表项目</x:v>
      </x:c>
      <x:c r="M149" s="4" t="str"/>
      <x:c r="N149" s="4" t="str">
        <x:v>未核验许可</x:v>
      </x:c>
      <x:c r="O149" s="12" t="n">
        <x:v>46277.172542754626</x:v>
      </x:c>
      <x:c r="P149" s="4" t="str">
        <x:v>GitHub公开HTML精确title星数</x:v>
      </x:c>
      <x:c r="Q149" s="4" t="str">
        <x:v>https://github.com/curl/curl</x:v>
      </x:c>
      <x:c r="R149" s="4" t="str">
        <x:v>定向补充；非随机抽样</x:v>
      </x:c>
      <x:c r="S149" s="4" t="str">
        <x:v>https://github.com/curl/curl</x:v>
      </x:c>
    </x:row>
    <x:row r="150" ht="86" customHeight="1">
      <x:c r="A150" s="4" t="str">
        <x:v>langchain-ai/langgraph</x:v>
      </x:c>
      <x:c r="B150" s="11" t="n">
        <x:v>41491</x:v>
      </x:c>
      <x:c r="C150" s="4" t="n">
        <x:v>13</x:v>
      </x:c>
      <x:c r="D150" s="4" t="str">
        <x:v>Agent编排与工具执行</x:v>
      </x:c>
      <x:c r="E150" s="4" t="str">
        <x:v>元数据已核验</x:v>
      </x:c>
      <x:c r="F150" s="4" t="n">
        <x:v>1</x:v>
      </x:c>
      <x:c r="G150" s="4" t="str">
        <x:v>软件项目</x:v>
      </x:c>
      <x:c r="H150" s="4" t="str">
        <x:v>Agent/模型与工具</x:v>
      </x:c>
      <x:c r="I150" s="4" t="str">
        <x:v>未获取/未识别</x:v>
      </x:c>
      <x:c r="J150" s="4" t="str">
        <x:v>Build resilient agents. Contribute to langchain-ai/langgraph development by creating an account on GitHub.</x:v>
      </x:c>
      <x:c r="K150" s="4" t="n">
        <x:v>0</x:v>
      </x:c>
      <x:c r="L150" s="4" t="str">
        <x:v>补充代表项目</x:v>
      </x:c>
      <x:c r="M150" s="4" t="str"/>
      <x:c r="N150" s="4" t="str">
        <x:v>未核验许可</x:v>
      </x:c>
      <x:c r="O150" s="12" t="n">
        <x:v>46277.172629953704</x:v>
      </x:c>
      <x:c r="P150" s="4" t="str">
        <x:v>GitHub公开HTML精确title星数</x:v>
      </x:c>
      <x:c r="Q150" s="4" t="str">
        <x:v>https://github.com/langchain-ai/langgraph</x:v>
      </x:c>
      <x:c r="R150" s="4" t="str">
        <x:v>定向补充；非随机抽样</x:v>
      </x:c>
      <x:c r="S150" s="4" t="str">
        <x:v>https://github.com/langchain-ai/langgraph</x:v>
      </x:c>
    </x:row>
    <x:row r="151" ht="86" customHeight="1">
      <x:c r="A151" s="4" t="str">
        <x:v>llvm/llvm-project</x:v>
      </x:c>
      <x:c r="B151" s="11" t="n">
        <x:v>40420</x:v>
      </x:c>
      <x:c r="C151" s="4" t="n">
        <x:v>14</x:v>
      </x:c>
      <x:c r="D151" s="4" t="str">
        <x:v>软件构建、开发与测试</x:v>
      </x:c>
      <x:c r="E151" s="4" t="str">
        <x:v>元数据已核验</x:v>
      </x:c>
      <x:c r="F151" s="4" t="n">
        <x:v>1</x:v>
      </x:c>
      <x:c r="G151" s="4" t="str">
        <x:v>软件项目</x:v>
      </x:c>
      <x:c r="H151" s="4" t="str">
        <x:v>软件工程；编程Agent需额外挂13标签</x:v>
      </x:c>
      <x:c r="I151" s="4" t="str">
        <x:v>LLVM</x:v>
      </x:c>
      <x:c r="J151" s="4" t="str">
        <x:v>The LLVM Project is a collection of modular and reusable compiler and toolchain technologies.</x:v>
      </x:c>
      <x:c r="K151" s="4" t="n">
        <x:v>0</x:v>
      </x:c>
      <x:c r="L151" s="4" t="str">
        <x:v>14</x:v>
      </x:c>
      <x:c r="M151" s="4" t="str"/>
      <x:c r="N151" s="4" t="str">
        <x:v>NOASSERTION</x:v>
      </x:c>
      <x:c r="O151" s="12" t="n">
        <x:v>46277.17333590278</x:v>
      </x:c>
      <x:c r="P151" s="4" t="str">
        <x:v>GitHub REST Search API</x:v>
      </x:c>
      <x:c r="Q151" s="4" t="str">
        <x:v>https://github.com/llvm/llvm-project</x:v>
      </x:c>
      <x:c r="R151" s="4" t="str">
        <x:v>compiler in:name,description stars:&gt;=5000 fork:false archived:false</x:v>
      </x:c>
      <x:c r="S151" s="4" t="str">
        <x:v>https://api.github.com/search/repositories?q=compiler%20in%3Aname%2Cdescription%20stars%3A%3E%3D5000%20fork%3Afalse%20archived%3Afalse&amp;sort=stars&amp;order=desc&amp;per_page=5</x:v>
      </x:c>
    </x:row>
    <x:row r="152" ht="86" customHeight="1">
      <x:c r="A152" s="4" t="str">
        <x:v>PostHog/posthog</x:v>
      </x:c>
      <x:c r="B152" s="11" t="n">
        <x:v>39755</x:v>
      </x:c>
      <x:c r="C152" s="4" t="n">
        <x:v>15</x:v>
      </x:c>
      <x:c r="D152" s="4" t="str">
        <x:v>部署运维与可观测性</x:v>
      </x:c>
      <x:c r="E152" s="4" t="str">
        <x:v>元数据已核验</x:v>
      </x:c>
      <x:c r="F152" s="4" t="n">
        <x:v>1</x:v>
      </x:c>
      <x:c r="G152" s="4" t="str">
        <x:v>软件项目</x:v>
      </x:c>
      <x:c r="H152" s="4" t="str">
        <x:v>运维/可观测性</x:v>
      </x:c>
      <x:c r="I152" s="4" t="str">
        <x:v>Python</x:v>
      </x:c>
      <x:c r="J152" s="4" t="str">
        <x:v>:hedgehog: PostHog is the leading platform for building self-driving products. Our developer tools – AI observability, analytics, session replay, flags, experiments, error tracking, logs, and more – c…</x:v>
      </x:c>
      <x:c r="K152" s="4" t="n">
        <x:v>0</x:v>
      </x:c>
      <x:c r="L152" s="4" t="str">
        <x:v>01</x:v>
      </x:c>
      <x:c r="M152" s="4" t="str">
        <x:v>443</x:v>
      </x:c>
      <x:c r="N152" s="4" t="str">
        <x:v>NOASSERTION</x:v>
      </x:c>
      <x:c r="O152" s="12" t="n">
        <x:v>46277.17107640046</x:v>
      </x:c>
      <x:c r="P152" s="4" t="str">
        <x:v>GitHub REST Search API</x:v>
      </x:c>
      <x:c r="Q152" s="4" t="str">
        <x:v>https://github.com/PostHog/posthog</x:v>
      </x:c>
      <x:c r="R152" s="4" t="str">
        <x:v>logging in:name,description stars:&gt;=5000 fork:false archived:false</x:v>
      </x:c>
      <x:c r="S152" s="4" t="str">
        <x:v>https://api.github.com/search/repositories?q=logging%20in%3Aname%2Cdescription%20stars%3A%3E%3D5000%20fork%3Afalse%20archived%3Afalse&amp;sort=stars&amp;order=desc&amp;per_page=5</x:v>
      </x:c>
    </x:row>
    <x:row r="153" ht="86" customHeight="1">
      <x:c r="A153" s="4" t="str">
        <x:v>pola-rs/polars</x:v>
      </x:c>
      <x:c r="B153" s="11" t="n">
        <x:v>39709</x:v>
      </x:c>
      <x:c r="C153" s="4" t="n">
        <x:v>8</x:v>
      </x:c>
      <x:c r="D153" s="4" t="str">
        <x:v>数据处理与科学计算</x:v>
      </x:c>
      <x:c r="E153" s="4" t="str">
        <x:v>元数据已核验</x:v>
      </x:c>
      <x:c r="F153" s="4" t="n">
        <x:v>1</x:v>
      </x:c>
      <x:c r="G153" s="4" t="str">
        <x:v>软件项目</x:v>
      </x:c>
      <x:c r="H153" s="4" t="str">
        <x:v>数据/行业分析</x:v>
      </x:c>
      <x:c r="I153" s="4" t="str">
        <x:v>Rust</x:v>
      </x:c>
      <x:c r="J153" s="4" t="str">
        <x:v>Extremely fast Query Engine for DataFrames, written in Rust</x:v>
      </x:c>
      <x:c r="K153" s="4" t="n">
        <x:v>0</x:v>
      </x:c>
      <x:c r="L153" s="4" t="str">
        <x:v>08</x:v>
      </x:c>
      <x:c r="M153" s="4" t="str"/>
      <x:c r="N153" s="4" t="str">
        <x:v>MIT</x:v>
      </x:c>
      <x:c r="O153" s="12" t="n">
        <x:v>46277.17329844907</x:v>
      </x:c>
      <x:c r="P153" s="4" t="str">
        <x:v>GitHub REST Search API</x:v>
      </x:c>
      <x:c r="Q153" s="4" t="str">
        <x:v>https://github.com/pola-rs/polars</x:v>
      </x:c>
      <x:c r="R153" s="4" t="str">
        <x:v>dataframe in:name,description stars:&gt;=5000 fork:false archived:false</x:v>
      </x:c>
      <x:c r="S153" s="4" t="str">
        <x:v>https://api.github.com/search/repositories?q=dataframe%20in%3Aname%2Cdescription%20stars%3A%3E%3D5000%20fork%3Afalse%20archived%3Afalse&amp;sort=stars&amp;order=desc&amp;per_page=5</x:v>
      </x:c>
    </x:row>
    <x:row r="154" ht="86" customHeight="1">
      <x:c r="A154" s="4" t="str">
        <x:v>vlang/v</x:v>
      </x:c>
      <x:c r="B154" s="11" t="n">
        <x:v>37849</x:v>
      </x:c>
      <x:c r="C154" s="4" t="n">
        <x:v>14</x:v>
      </x:c>
      <x:c r="D154" s="4" t="str">
        <x:v>软件构建、开发与测试</x:v>
      </x:c>
      <x:c r="E154" s="4" t="str">
        <x:v>元数据已核验</x:v>
      </x:c>
      <x:c r="F154" s="4" t="n">
        <x:v>1</x:v>
      </x:c>
      <x:c r="G154" s="4" t="str">
        <x:v>软件项目</x:v>
      </x:c>
      <x:c r="H154" s="4" t="str">
        <x:v>软件工程；编程Agent需额外挂13标签</x:v>
      </x:c>
      <x:c r="I154" s="4" t="str">
        <x:v>V</x:v>
      </x:c>
      <x:c r="J154" s="4" t="str">
        <x:v>Simple, fast, safe, compiled language for developing maintainable software. Compiles itself in &lt;1s with zero library dependencies. Supports automatic C =&gt; V translation. https://vlang.io</x:v>
      </x:c>
      <x:c r="K154" s="4" t="n">
        <x:v>0</x:v>
      </x:c>
      <x:c r="L154" s="4" t="str">
        <x:v>14</x:v>
      </x:c>
      <x:c r="M154" s="4" t="str"/>
      <x:c r="N154" s="4" t="str">
        <x:v>MIT</x:v>
      </x:c>
      <x:c r="O154" s="12" t="n">
        <x:v>46277.17333590278</x:v>
      </x:c>
      <x:c r="P154" s="4" t="str">
        <x:v>GitHub REST Search API</x:v>
      </x:c>
      <x:c r="Q154" s="4" t="str">
        <x:v>https://github.com/vlang/v</x:v>
      </x:c>
      <x:c r="R154" s="4" t="str">
        <x:v>compiler in:name,description stars:&gt;=5000 fork:false archived:false</x:v>
      </x:c>
      <x:c r="S154" s="4" t="str">
        <x:v>https://api.github.com/search/repositories?q=compiler%20in%3Aname%2Cdescription%20stars%3A%3E%3D5000%20fork%3Afalse%20archived%3Afalse&amp;sort=stars&amp;order=desc&amp;per_page=5</x:v>
      </x:c>
    </x:row>
    <x:row r="155" ht="86" customHeight="1">
      <x:c r="A155" s="4" t="str">
        <x:v>markedjs/marked</x:v>
      </x:c>
      <x:c r="B155" s="11" t="n">
        <x:v>37134</x:v>
      </x:c>
      <x:c r="C155" s="4" t="n">
        <x:v>14</x:v>
      </x:c>
      <x:c r="D155" s="4" t="str">
        <x:v>软件构建、开发与测试</x:v>
      </x:c>
      <x:c r="E155" s="4" t="str">
        <x:v>元数据已核验</x:v>
      </x:c>
      <x:c r="F155" s="4" t="n">
        <x:v>1</x:v>
      </x:c>
      <x:c r="G155" s="4" t="str">
        <x:v>软件项目</x:v>
      </x:c>
      <x:c r="H155" s="4" t="str">
        <x:v>软件工程；编程Agent需额外挂13标签</x:v>
      </x:c>
      <x:c r="I155" s="4" t="str">
        <x:v>JavaScript</x:v>
      </x:c>
      <x:c r="J155" s="4" t="str">
        <x:v>A markdown parser and compiler. Built for speed.</x:v>
      </x:c>
      <x:c r="K155" s="4" t="n">
        <x:v>0</x:v>
      </x:c>
      <x:c r="L155" s="4" t="str">
        <x:v>14</x:v>
      </x:c>
      <x:c r="M155" s="4" t="str"/>
      <x:c r="N155" s="4" t="str">
        <x:v>NOASSERTION</x:v>
      </x:c>
      <x:c r="O155" s="12" t="n">
        <x:v>46277.17333590278</x:v>
      </x:c>
      <x:c r="P155" s="4" t="str">
        <x:v>GitHub REST Search API</x:v>
      </x:c>
      <x:c r="Q155" s="4" t="str">
        <x:v>https://github.com/markedjs/marked</x:v>
      </x:c>
      <x:c r="R155" s="4" t="str">
        <x:v>compiler in:name,description stars:&gt;=5000 fork:false archived:false</x:v>
      </x:c>
      <x:c r="S155" s="4" t="str">
        <x:v>https://api.github.com/search/repositories?q=compiler%20in%3Aname%2Cdescription%20stars%3A%3E%3D5000%20fork%3Afalse%20archived%3Afalse&amp;sort=stars&amp;order=desc&amp;per_page=5</x:v>
      </x:c>
    </x:row>
    <x:row r="156" ht="86" customHeight="1">
      <x:c r="A156" s="4" t="str">
        <x:v>keycloak/keycloak</x:v>
      </x:c>
      <x:c r="B156" s="11" t="n">
        <x:v>36730</x:v>
      </x:c>
      <x:c r="C156" s="4" t="n">
        <x:v>4</x:v>
      </x:c>
      <x:c r="D156" s="4" t="str">
        <x:v>安全与身份认证</x:v>
      </x:c>
      <x:c r="E156" s="4" t="str">
        <x:v>元数据已核验</x:v>
      </x:c>
      <x:c r="F156" s="4" t="n">
        <x:v>1</x:v>
      </x:c>
      <x:c r="G156" s="4" t="str">
        <x:v>软件项目</x:v>
      </x:c>
      <x:c r="H156" s="4" t="str">
        <x:v>安全审计</x:v>
      </x:c>
      <x:c r="I156" s="4" t="str">
        <x:v>未获取/未识别</x:v>
      </x:c>
      <x:c r="J156" s="4" t="str">
        <x:v>Open Source Identity and Access Management For Modern Applications and Services - keycloak/keycloak</x:v>
      </x:c>
      <x:c r="K156" s="4" t="n">
        <x:v>0</x:v>
      </x:c>
      <x:c r="L156" s="4" t="str">
        <x:v>补充代表项目</x:v>
      </x:c>
      <x:c r="M156" s="4" t="str"/>
      <x:c r="N156" s="4" t="str">
        <x:v>未核验许可</x:v>
      </x:c>
      <x:c r="O156" s="12" t="n">
        <x:v>46277.17258222222</x:v>
      </x:c>
      <x:c r="P156" s="4" t="str">
        <x:v>GitHub公开HTML精确title星数</x:v>
      </x:c>
      <x:c r="Q156" s="4" t="str">
        <x:v>https://github.com/keycloak/keycloak</x:v>
      </x:c>
      <x:c r="R156" s="4" t="str">
        <x:v>定向补充；非随机抽样</x:v>
      </x:c>
      <x:c r="S156" s="4" t="str">
        <x:v>https://github.com/keycloak/keycloak</x:v>
      </x:c>
    </x:row>
    <x:row r="157" ht="86" customHeight="1">
      <x:c r="A157" s="4" t="str">
        <x:v>SigNoz/signoz</x:v>
      </x:c>
      <x:c r="B157" s="11" t="n">
        <x:v>32080</x:v>
      </x:c>
      <x:c r="C157" s="4" t="n">
        <x:v>15</x:v>
      </x:c>
      <x:c r="D157" s="4" t="str">
        <x:v>部署运维与可观测性</x:v>
      </x:c>
      <x:c r="E157" s="4" t="str">
        <x:v>元数据已核验</x:v>
      </x:c>
      <x:c r="F157" s="4" t="n">
        <x:v>1</x:v>
      </x:c>
      <x:c r="G157" s="4" t="str">
        <x:v>软件项目</x:v>
      </x:c>
      <x:c r="H157" s="4" t="str">
        <x:v>运维/可观测性</x:v>
      </x:c>
      <x:c r="I157" s="4" t="str">
        <x:v>TypeScript</x:v>
      </x:c>
      <x:c r="J157" s="4" t="str">
        <x:v>SigNoz is an open-source, OpenTelemetry-native observability platform for your team and their AI agents. Get logs, metrics, and traces in one tool with features like APM, distributed tracing, log mana…</x:v>
      </x:c>
      <x:c r="K157" s="4" t="n">
        <x:v>0</x:v>
      </x:c>
      <x:c r="L157" s="4" t="str">
        <x:v>01</x:v>
      </x:c>
      <x:c r="M157" s="4" t="str"/>
      <x:c r="N157" s="4" t="str">
        <x:v>NOASSERTION</x:v>
      </x:c>
      <x:c r="O157" s="12" t="n">
        <x:v>46277.17107640046</x:v>
      </x:c>
      <x:c r="P157" s="4" t="str">
        <x:v>GitHub REST Search API</x:v>
      </x:c>
      <x:c r="Q157" s="4" t="str">
        <x:v>https://github.com/SigNoz/signoz</x:v>
      </x:c>
      <x:c r="R157" s="4" t="str">
        <x:v>logging in:name,description stars:&gt;=5000 fork:false archived:false</x:v>
      </x:c>
      <x:c r="S157" s="4" t="str">
        <x:v>https://api.github.com/search/repositories?q=logging%20in%3Aname%2Cdescription%20stars%3A%3E%3D5000%20fork%3Afalse%20archived%3Afalse&amp;sort=stars&amp;order=desc&amp;per_page=5</x:v>
      </x:c>
    </x:row>
    <x:row r="158" ht="86" customHeight="1">
      <x:c r="A158" s="4" t="str">
        <x:v>openssl/openssl</x:v>
      </x:c>
      <x:c r="B158" s="11" t="n">
        <x:v>30771</x:v>
      </x:c>
      <x:c r="C158" s="4" t="n">
        <x:v>4</x:v>
      </x:c>
      <x:c r="D158" s="4" t="str">
        <x:v>安全与身份认证</x:v>
      </x:c>
      <x:c r="E158" s="4" t="str">
        <x:v>元数据已核验</x:v>
      </x:c>
      <x:c r="F158" s="4" t="n">
        <x:v>1</x:v>
      </x:c>
      <x:c r="G158" s="4" t="str">
        <x:v>软件项目</x:v>
      </x:c>
      <x:c r="H158" s="4" t="str">
        <x:v>安全审计</x:v>
      </x:c>
      <x:c r="I158" s="4" t="str">
        <x:v>未获取/未识别</x:v>
      </x:c>
      <x:c r="J158" s="4" t="str">
        <x:v>General purpose TLS and crypto library. Contribute to openssl/openssl development by creating an account on GitHub.</x:v>
      </x:c>
      <x:c r="K158" s="4" t="n">
        <x:v>0</x:v>
      </x:c>
      <x:c r="L158" s="4" t="str">
        <x:v>补充代表项目</x:v>
      </x:c>
      <x:c r="M158" s="4" t="str"/>
      <x:c r="N158" s="4" t="str">
        <x:v>未核验许可</x:v>
      </x:c>
      <x:c r="O158" s="12" t="n">
        <x:v>46277.17258362268</x:v>
      </x:c>
      <x:c r="P158" s="4" t="str">
        <x:v>GitHub公开HTML精确title星数</x:v>
      </x:c>
      <x:c r="Q158" s="4" t="str">
        <x:v>https://github.com/openssl/openssl</x:v>
      </x:c>
      <x:c r="R158" s="4" t="str">
        <x:v>定向补充；非随机抽样</x:v>
      </x:c>
      <x:c r="S158" s="4" t="str">
        <x:v>https://github.com/openssl/openssl</x:v>
      </x:c>
    </x:row>
    <x:row r="159" ht="86" customHeight="1">
      <x:c r="A159" s="4" t="str">
        <x:v>gabime/spdlog</x:v>
      </x:c>
      <x:c r="B159" s="11" t="n">
        <x:v>29590</x:v>
      </x:c>
      <x:c r="C159" s="4" t="n">
        <x:v>1</x:v>
      </x:c>
      <x:c r="D159" s="4" t="str">
        <x:v>基础编程与通用工具</x:v>
      </x:c>
      <x:c r="E159" s="4" t="str">
        <x:v>元数据已核验</x:v>
      </x:c>
      <x:c r="F159" s="4" t="n">
        <x:v>1</x:v>
      </x:c>
      <x:c r="G159" s="4" t="str">
        <x:v>软件项目</x:v>
      </x:c>
      <x:c r="H159" s="4" t="str"/>
      <x:c r="I159" s="4" t="str">
        <x:v>未获取/未识别</x:v>
      </x:c>
      <x:c r="J159" s="4" t="str">
        <x:v>Fast C++ logging library. Contribute to gabime/spdlog development by creating an account on GitHub.</x:v>
      </x:c>
      <x:c r="K159" s="4" t="n">
        <x:v>0</x:v>
      </x:c>
      <x:c r="L159" s="4" t="str">
        <x:v>补充代表项目</x:v>
      </x:c>
      <x:c r="M159" s="4" t="str"/>
      <x:c r="N159" s="4" t="str">
        <x:v>未核验许可</x:v>
      </x:c>
      <x:c r="O159" s="12" t="n">
        <x:v>46277.17254556713</x:v>
      </x:c>
      <x:c r="P159" s="4" t="str">
        <x:v>GitHub公开HTML精确title星数</x:v>
      </x:c>
      <x:c r="Q159" s="4" t="str">
        <x:v>https://github.com/gabime/spdlog</x:v>
      </x:c>
      <x:c r="R159" s="4" t="str">
        <x:v>定向补充；非随机抽样</x:v>
      </x:c>
      <x:c r="S159" s="4" t="str">
        <x:v>https://github.com/gabime/spdlog</x:v>
      </x:c>
    </x:row>
    <x:row r="160" ht="86" customHeight="1">
      <x:c r="A160" s="4" t="str">
        <x:v>Delgan/loguru</x:v>
      </x:c>
      <x:c r="B160" s="11" t="n">
        <x:v>24102</x:v>
      </x:c>
      <x:c r="C160" s="4" t="n">
        <x:v>1</x:v>
      </x:c>
      <x:c r="D160" s="4" t="str">
        <x:v>基础编程与通用工具</x:v>
      </x:c>
      <x:c r="E160" s="4" t="str">
        <x:v>元数据已核验</x:v>
      </x:c>
      <x:c r="F160" s="4" t="n">
        <x:v>1</x:v>
      </x:c>
      <x:c r="G160" s="4" t="str">
        <x:v>软件项目</x:v>
      </x:c>
      <x:c r="H160" s="4" t="str"/>
      <x:c r="I160" s="4" t="str">
        <x:v>未获取/未识别</x:v>
      </x:c>
      <x:c r="J160" s="4" t="str">
        <x:v>Python logging made (stupidly) simple. Contribute to Delgan/loguru development by creating an account on GitHub.</x:v>
      </x:c>
      <x:c r="K160" s="4" t="n">
        <x:v>0</x:v>
      </x:c>
      <x:c r="L160" s="4" t="str">
        <x:v>补充代表项目</x:v>
      </x:c>
      <x:c r="M160" s="4" t="str"/>
      <x:c r="N160" s="4" t="str">
        <x:v>未核验许可</x:v>
      </x:c>
      <x:c r="O160" s="12" t="n">
        <x:v>46277.172556006946</x:v>
      </x:c>
      <x:c r="P160" s="4" t="str">
        <x:v>GitHub公开HTML精确title星数</x:v>
      </x:c>
      <x:c r="Q160" s="4" t="str">
        <x:v>https://github.com/Delgan/loguru</x:v>
      </x:c>
      <x:c r="R160" s="4" t="str">
        <x:v>定向补充；非随机抽样</x:v>
      </x:c>
      <x:c r="S160" s="4" t="str">
        <x:v>https://github.com/Delgan/loguru</x:v>
      </x:c>
    </x:row>
    <x:row r="161" ht="86" customHeight="1">
      <x:c r="A161" s="4" t="str">
        <x:v>Kanaries/pygwalker</x:v>
      </x:c>
      <x:c r="B161" s="11" t="n">
        <x:v>15961</x:v>
      </x:c>
      <x:c r="C161" s="4" t="n">
        <x:v>8</x:v>
      </x:c>
      <x:c r="D161" s="4" t="str">
        <x:v>数据处理与科学计算</x:v>
      </x:c>
      <x:c r="E161" s="4" t="str">
        <x:v>元数据已核验</x:v>
      </x:c>
      <x:c r="F161" s="4" t="n">
        <x:v>1</x:v>
      </x:c>
      <x:c r="G161" s="4" t="str">
        <x:v>软件项目</x:v>
      </x:c>
      <x:c r="H161" s="4" t="str">
        <x:v>数据/行业分析</x:v>
      </x:c>
      <x:c r="I161" s="4" t="str">
        <x:v>Python</x:v>
      </x:c>
      <x:c r="J161" s="4" t="str">
        <x:v>PyGWalker: Turn your dataframe into an interactive UI for visual analysis</x:v>
      </x:c>
      <x:c r="K161" s="4" t="n">
        <x:v>0</x:v>
      </x:c>
      <x:c r="L161" s="4" t="str">
        <x:v>08</x:v>
      </x:c>
      <x:c r="M161" s="4" t="str"/>
      <x:c r="N161" s="4" t="str">
        <x:v>Apache-2.0</x:v>
      </x:c>
      <x:c r="O161" s="12" t="n">
        <x:v>46277.17329844907</x:v>
      </x:c>
      <x:c r="P161" s="4" t="str">
        <x:v>GitHub REST Search API</x:v>
      </x:c>
      <x:c r="Q161" s="4" t="str">
        <x:v>https://github.com/Kanaries/pygwalker</x:v>
      </x:c>
      <x:c r="R161" s="4" t="str">
        <x:v>dataframe in:name,description stars:&gt;=5000 fork:false archived:false</x:v>
      </x:c>
      <x:c r="S161" s="4" t="str">
        <x:v>https://api.github.com/search/repositories?q=dataframe%20in%3Aname%2Cdescription%20stars%3A%3E%3D5000%20fork%3Afalse%20archived%3Afalse&amp;sort=stars&amp;order=desc&amp;per_page=5</x:v>
      </x:c>
    </x:row>
    <x:row r="162" ht="86" customHeight="1">
      <x:c r="A162" s="4" t="str">
        <x:v>Data-Centric-AI-Community/fg-data-profiling</x:v>
      </x:c>
      <x:c r="B162" s="11" t="n">
        <x:v>13689</x:v>
      </x:c>
      <x:c r="C162" s="4" t="n">
        <x:v>8</x:v>
      </x:c>
      <x:c r="D162" s="4" t="str">
        <x:v>数据处理与科学计算</x:v>
      </x:c>
      <x:c r="E162" s="4" t="str">
        <x:v>元数据已核验</x:v>
      </x:c>
      <x:c r="F162" s="4" t="n">
        <x:v>1</x:v>
      </x:c>
      <x:c r="G162" s="4" t="str">
        <x:v>软件项目</x:v>
      </x:c>
      <x:c r="H162" s="4" t="str">
        <x:v>数据/行业分析</x:v>
      </x:c>
      <x:c r="I162" s="4" t="str">
        <x:v>Python</x:v>
      </x:c>
      <x:c r="J162" s="4" t="str">
        <x:v>1 Line of code data quality profiling &amp; exploratory data analysis for Pandas and Spark DataFrames. </x:v>
      </x:c>
      <x:c r="K162" s="4" t="n">
        <x:v>0</x:v>
      </x:c>
      <x:c r="L162" s="4" t="str">
        <x:v>08</x:v>
      </x:c>
      <x:c r="M162" s="4" t="str"/>
      <x:c r="N162" s="4" t="str">
        <x:v>MIT</x:v>
      </x:c>
      <x:c r="O162" s="12" t="n">
        <x:v>46277.17329844907</x:v>
      </x:c>
      <x:c r="P162" s="4" t="str">
        <x:v>GitHub REST Search API</x:v>
      </x:c>
      <x:c r="Q162" s="4" t="str">
        <x:v>https://github.com/Data-Centric-AI-Community/fg-data-profiling</x:v>
      </x:c>
      <x:c r="R162" s="4" t="str">
        <x:v>dataframe in:name,description stars:&gt;=5000 fork:false archived:false</x:v>
      </x:c>
      <x:c r="S162" s="4" t="str">
        <x:v>https://api.github.com/search/repositories?q=dataframe%20in%3Aname%2Cdescription%20stars%3A%3E%3D5000%20fork%3Afalse%20archived%3Afalse&amp;sort=stars&amp;order=desc&amp;per_page=5</x:v>
      </x:c>
    </x:row>
    <x:row r="163" ht="86" customHeight="1">
      <x:c r="A163" s="4" t="str">
        <x:v>Rudrabha/Wav2Lip</x:v>
      </x:c>
      <x:c r="B163" s="11" t="n">
        <x:v>13200</x:v>
      </x:c>
      <x:c r="C163" s="4" t="n">
        <x:v>11</x:v>
      </x:c>
      <x:c r="D163" s="4" t="str">
        <x:v>AI模型与机器学习</x:v>
      </x:c>
      <x:c r="E163" s="4" t="str">
        <x:v>元数据已核验</x:v>
      </x:c>
      <x:c r="F163" s="4" t="n">
        <x:v>1</x:v>
      </x:c>
      <x:c r="G163" s="4" t="str">
        <x:v>软件项目</x:v>
      </x:c>
      <x:c r="H163" s="4" t="str">
        <x:v>AI模型/推理</x:v>
      </x:c>
      <x:c r="I163" s="4" t="str">
        <x:v>Python</x:v>
      </x:c>
      <x:c r="J163" s="4" t="str">
        <x:v>This repository contains the codes of "A Lip Sync Expert Is All You Need for Speech to Lip Generation In the Wild", published at ACM Multimedia 2020. For HD commercial model, please try out Sync Labs </x:v>
      </x:c>
      <x:c r="K163" s="4" t="n">
        <x:v>0</x:v>
      </x:c>
      <x:c r="L163" s="4" t="str">
        <x:v>09</x:v>
      </x:c>
      <x:c r="M163" s="4" t="str"/>
      <x:c r="N163" s="4" t="str">
        <x:v>未核验许可</x:v>
      </x:c>
      <x:c r="O163" s="12" t="n">
        <x:v>46277.17330436342</x:v>
      </x:c>
      <x:c r="P163" s="4" t="str">
        <x:v>GitHub REST Search API</x:v>
      </x:c>
      <x:c r="Q163" s="4" t="str">
        <x:v>https://github.com/Rudrabha/Wav2Lip</x:v>
      </x:c>
      <x:c r="R163" s="4" t="str">
        <x:v>multimedia in:name,description stars:&gt;=5000 fork:false archived:false</x:v>
      </x:c>
      <x:c r="S163" s="4" t="str">
        <x:v>https://api.github.com/search/repositories?q=multimedia%20in%3Aname%2Cdescription%20stars%3A%3E%3D5000%20fork%3Afalse%20archived%3Afalse&amp;sort=stars&amp;order=desc&amp;per_page=5</x:v>
      </x:c>
    </x:row>
    <x:row r="164" ht="86" customHeight="1">
      <x:c r="A164" s="4" t="str">
        <x:v>asweigart/pyautogui</x:v>
      </x:c>
      <x:c r="B164" s="11" t="n">
        <x:v>12689</x:v>
      </x:c>
      <x:c r="C164" s="4" t="n">
        <x:v>12</x:v>
      </x:c>
      <x:c r="D164" s="4" t="str">
        <x:v>办公软件与桌面操作自动化</x:v>
      </x:c>
      <x:c r="E164" s="4" t="str">
        <x:v>元数据已核验</x:v>
      </x:c>
      <x:c r="F164" s="4" t="n">
        <x:v>1</x:v>
      </x:c>
      <x:c r="G164" s="4" t="str">
        <x:v>软件项目</x:v>
      </x:c>
      <x:c r="H164" s="4" t="str">
        <x:v>办公/浏览器执行</x:v>
      </x:c>
      <x:c r="I164" s="4" t="str">
        <x:v>未获取/未识别</x:v>
      </x:c>
      <x:c r="J164" s="4" t="str">
        <x:v>A cross-platform GUI automation Python module for human beings. Used to programmatically control the mouse &amp;amp; keyboard. - asweigart/pyautogui</x:v>
      </x:c>
      <x:c r="K164" s="4" t="n">
        <x:v>0</x:v>
      </x:c>
      <x:c r="L164" s="4" t="str">
        <x:v>补充代表项目</x:v>
      </x:c>
      <x:c r="M164" s="4" t="str"/>
      <x:c r="N164" s="4" t="str">
        <x:v>未核验许可</x:v>
      </x:c>
      <x:c r="O164" s="12" t="n">
        <x:v>46277.172638159725</x:v>
      </x:c>
      <x:c r="P164" s="4" t="str">
        <x:v>GitHub公开HTML精确title星数</x:v>
      </x:c>
      <x:c r="Q164" s="4" t="str">
        <x:v>https://github.com/asweigart/pyautogui</x:v>
      </x:c>
      <x:c r="R164" s="4" t="str">
        <x:v>定向补充；非随机抽样</x:v>
      </x:c>
      <x:c r="S164" s="4" t="str">
        <x:v>https://github.com/asweigart/pyautogui</x:v>
      </x:c>
    </x:row>
    <x:row r="165" ht="86" customHeight="1">
      <x:c r="A165" s="4" t="str">
        <x:v>SFML/SFML</x:v>
      </x:c>
      <x:c r="B165" s="11" t="n">
        <x:v>12014</x:v>
      </x:c>
      <x:c r="C165" s="4" t="n">
        <x:v>9</x:v>
      </x:c>
      <x:c r="D165" s="4" t="str">
        <x:v>图形、多媒体与实时应用</x:v>
      </x:c>
      <x:c r="E165" s="4" t="str">
        <x:v>元数据已核验</x:v>
      </x:c>
      <x:c r="F165" s="4" t="n">
        <x:v>1</x:v>
      </x:c>
      <x:c r="G165" s="4" t="str">
        <x:v>软件项目</x:v>
      </x:c>
      <x:c r="H165" s="4" t="str">
        <x:v>媒体/图形</x:v>
      </x:c>
      <x:c r="I165" s="4" t="str">
        <x:v>C++</x:v>
      </x:c>
      <x:c r="J165" s="4" t="str">
        <x:v>Simple and Fast Multimedia Library</x:v>
      </x:c>
      <x:c r="K165" s="4" t="n">
        <x:v>0</x:v>
      </x:c>
      <x:c r="L165" s="4" t="str">
        <x:v>09</x:v>
      </x:c>
      <x:c r="M165" s="4" t="str"/>
      <x:c r="N165" s="4" t="str">
        <x:v>Zlib</x:v>
      </x:c>
      <x:c r="O165" s="12" t="n">
        <x:v>46277.17330436342</x:v>
      </x:c>
      <x:c r="P165" s="4" t="str">
        <x:v>GitHub REST Search API</x:v>
      </x:c>
      <x:c r="Q165" s="4" t="str">
        <x:v>https://github.com/SFML/SFML</x:v>
      </x:c>
      <x:c r="R165" s="4" t="str">
        <x:v>multimedia in:name,description stars:&gt;=5000 fork:false archived:false</x:v>
      </x:c>
      <x:c r="S165" s="4" t="str">
        <x:v>https://api.github.com/search/repositories?q=multimedia%20in%3Aname%2Cdescription%20stars%3A%3E%3D5000%20fork%3Afalse%20archived%3Afalse&amp;sort=stars&amp;order=desc&amp;per_page=5</x:v>
      </x:c>
    </x:row>
    <x:row r="166" ht="86" customHeight="1">
      <x:c r="A166" s="4" t="str">
        <x:v>dbcli/mycli</x:v>
      </x:c>
      <x:c r="B166" s="11" t="n">
        <x:v>11976</x:v>
      </x:c>
      <x:c r="C166" s="4" t="n">
        <x:v>5</x:v>
      </x:c>
      <x:c r="D166" s="4" t="str">
        <x:v>数据库、存储与检索</x:v>
      </x:c>
      <x:c r="E166" s="4" t="str">
        <x:v>元数据已核验</x:v>
      </x:c>
      <x:c r="F166" s="4" t="n">
        <x:v>1</x:v>
      </x:c>
      <x:c r="G166" s="4" t="str">
        <x:v>软件项目</x:v>
      </x:c>
      <x:c r="H166" s="4" t="str">
        <x:v>数据服务</x:v>
      </x:c>
      <x:c r="I166" s="4" t="str">
        <x:v>Python</x:v>
      </x:c>
      <x:c r="J166" s="4" t="str">
        <x:v>Rich MySQL Terminal Client with AutoCompletion, Syntax Highlighting, and Dataframes</x:v>
      </x:c>
      <x:c r="K166" s="4" t="n">
        <x:v>0</x:v>
      </x:c>
      <x:c r="L166" s="4" t="str">
        <x:v>08</x:v>
      </x:c>
      <x:c r="M166" s="4" t="str"/>
      <x:c r="N166" s="4" t="str">
        <x:v>BSD-3-Clause</x:v>
      </x:c>
      <x:c r="O166" s="12" t="n">
        <x:v>46277.17329844907</x:v>
      </x:c>
      <x:c r="P166" s="4" t="str">
        <x:v>GitHub REST Search API</x:v>
      </x:c>
      <x:c r="Q166" s="4" t="str">
        <x:v>https://github.com/dbcli/mycli</x:v>
      </x:c>
      <x:c r="R166" s="4" t="str">
        <x:v>dataframe in:name,description stars:&gt;=5000 fork:false archived:false</x:v>
      </x:c>
      <x:c r="S166" s="4" t="str">
        <x:v>https://api.github.com/search/repositories?q=dataframe%20in%3Aname%2Cdescription%20stars%3A%3E%3D5000%20fork%3Afalse%20archived%3Afalse&amp;sort=stars&amp;order=desc&amp;per_page=5</x:v>
      </x:c>
    </x:row>
    <x:row r="167" ht="86" customHeight="1">
      <x:c r="A167" s="4" t="str">
        <x:v>NVIDIA/cudf</x:v>
      </x:c>
      <x:c r="B167" s="11" t="n">
        <x:v>9749</x:v>
      </x:c>
      <x:c r="C167" s="4" t="n">
        <x:v>8</x:v>
      </x:c>
      <x:c r="D167" s="4" t="str">
        <x:v>数据处理与科学计算</x:v>
      </x:c>
      <x:c r="E167" s="4" t="str">
        <x:v>元数据已核验</x:v>
      </x:c>
      <x:c r="F167" s="4" t="n">
        <x:v>1</x:v>
      </x:c>
      <x:c r="G167" s="4" t="str">
        <x:v>软件项目</x:v>
      </x:c>
      <x:c r="H167" s="4" t="str">
        <x:v>数据/行业分析</x:v>
      </x:c>
      <x:c r="I167" s="4" t="str">
        <x:v>C++</x:v>
      </x:c>
      <x:c r="J167" s="4" t="str">
        <x:v>cuDF - GPU DataFrame Library </x:v>
      </x:c>
      <x:c r="K167" s="4" t="n">
        <x:v>0</x:v>
      </x:c>
      <x:c r="L167" s="4" t="str">
        <x:v>08</x:v>
      </x:c>
      <x:c r="M167" s="4" t="str"/>
      <x:c r="N167" s="4" t="str">
        <x:v>Apache-2.0</x:v>
      </x:c>
      <x:c r="O167" s="12" t="n">
        <x:v>46277.17329844907</x:v>
      </x:c>
      <x:c r="P167" s="4" t="str">
        <x:v>GitHub REST Search API</x:v>
      </x:c>
      <x:c r="Q167" s="4" t="str">
        <x:v>https://github.com/NVIDIA/cudf</x:v>
      </x:c>
      <x:c r="R167" s="4" t="str">
        <x:v>dataframe in:name,description stars:&gt;=5000 fork:false archived:false</x:v>
      </x:c>
      <x:c r="S167" s="4" t="str">
        <x:v>https://api.github.com/search/repositories?q=dataframe%20in%3Aname%2Cdescription%20stars%3A%3E%3D5000%20fork%3Afalse%20archived%3Afalse&amp;sort=stars&amp;order=desc&amp;per_page=5</x:v>
      </x:c>
    </x:row>
    <x:row r="168" ht="86" customHeight="1">
      <x:c r="A168" s="4" t="str">
        <x:v>pygame/pygame</x:v>
      </x:c>
      <x:c r="B168" s="11" t="n">
        <x:v>8929</x:v>
      </x:c>
      <x:c r="C168" s="4" t="n">
        <x:v>9</x:v>
      </x:c>
      <x:c r="D168" s="4" t="str">
        <x:v>图形、多媒体与实时应用</x:v>
      </x:c>
      <x:c r="E168" s="4" t="str">
        <x:v>元数据已核验</x:v>
      </x:c>
      <x:c r="F168" s="4" t="n">
        <x:v>1</x:v>
      </x:c>
      <x:c r="G168" s="4" t="str">
        <x:v>软件项目</x:v>
      </x:c>
      <x:c r="H168" s="4" t="str">
        <x:v>媒体/图形</x:v>
      </x:c>
      <x:c r="I168" s="4" t="str">
        <x:v>C</x:v>
      </x:c>
      <x:c r="J168" s="4" t="str">
        <x:v>🐍🎮 pygame (the library) is a Free and Open Source python programming language library for making multimedia applications like games built on top of the excellent SDL library. C, Python, Native, Open…</x:v>
      </x:c>
      <x:c r="K168" s="4" t="n">
        <x:v>0</x:v>
      </x:c>
      <x:c r="L168" s="4" t="str">
        <x:v>09</x:v>
      </x:c>
      <x:c r="M168" s="4" t="str"/>
      <x:c r="N168" s="4" t="str">
        <x:v>未核验许可</x:v>
      </x:c>
      <x:c r="O168" s="12" t="n">
        <x:v>46277.17330436342</x:v>
      </x:c>
      <x:c r="P168" s="4" t="str">
        <x:v>GitHub REST Search API</x:v>
      </x:c>
      <x:c r="Q168" s="4" t="str">
        <x:v>https://github.com/pygame/pygame</x:v>
      </x:c>
      <x:c r="R168" s="4" t="str">
        <x:v>multimedia in:name,description stars:&gt;=5000 fork:false archived:false</x:v>
      </x:c>
      <x:c r="S168" s="4" t="str">
        <x:v>https://api.github.com/search/repositories?q=multimedia%20in%3Aname%2Cdescription%20stars%3A%3E%3D5000%20fork%3Afalse%20archived%3Afalse&amp;sort=stars&amp;order=desc&amp;per_page=5</x:v>
      </x:c>
    </x:row>
    <x:row r="169" ht="86" customHeight="1">
      <x:c r="A169" s="4" t="str">
        <x:v>adithya-s-k/omniparse</x:v>
      </x:c>
      <x:c r="B169" s="11" t="n">
        <x:v>7921</x:v>
      </x:c>
      <x:c r="C169" s="4" t="n">
        <x:v>10</x:v>
      </x:c>
      <x:c r="D169" s="4" t="str">
        <x:v>文档与办公数据处理</x:v>
      </x:c>
      <x:c r="E169" s="4" t="str">
        <x:v>元数据已核验</x:v>
      </x:c>
      <x:c r="F169" s="4" t="n">
        <x:v>1</x:v>
      </x:c>
      <x:c r="G169" s="4" t="str">
        <x:v>软件项目</x:v>
      </x:c>
      <x:c r="H169" s="4" t="str">
        <x:v>文档/知识内容</x:v>
      </x:c>
      <x:c r="I169" s="4" t="str">
        <x:v>Python</x:v>
      </x:c>
      <x:c r="J169" s="4" t="str">
        <x:v>Ingest, parse, and optimize any data format ➡️ from documents to multimedia ➡️ for enhanced compatibility with GenAI frameworks</x:v>
      </x:c>
      <x:c r="K169" s="4" t="n">
        <x:v>0</x:v>
      </x:c>
      <x:c r="L169" s="4" t="str">
        <x:v>09</x:v>
      </x:c>
      <x:c r="M169" s="4" t="str"/>
      <x:c r="N169" s="4" t="str">
        <x:v>GPL-3.0</x:v>
      </x:c>
      <x:c r="O169" s="12" t="n">
        <x:v>46277.17330436342</x:v>
      </x:c>
      <x:c r="P169" s="4" t="str">
        <x:v>GitHub REST Search API</x:v>
      </x:c>
      <x:c r="Q169" s="4" t="str">
        <x:v>https://github.com/adithya-s-k/omniparse</x:v>
      </x:c>
      <x:c r="R169" s="4" t="str">
        <x:v>multimedia in:name,description stars:&gt;=5000 fork:false archived:false</x:v>
      </x:c>
      <x:c r="S169" s="4" t="str">
        <x:v>https://api.github.com/search/repositories?q=multimedia%20in%3Aname%2Cdescription%20stars%3A%3E%3D5000%20fork%3Afalse%20archived%3Afalse&amp;sort=stars&amp;order=desc&amp;per_page=5</x:v>
      </x:c>
    </x:row>
    <x:row r="170" ht="86" customHeight="1">
      <x:c r="A170" s="4" t="str">
        <x:v>python-openxml/python-docx</x:v>
      </x:c>
      <x:c r="B170" s="11" t="n">
        <x:v>5716</x:v>
      </x:c>
      <x:c r="C170" s="4" t="n">
        <x:v>10</x:v>
      </x:c>
      <x:c r="D170" s="4" t="str">
        <x:v>文档与办公数据处理</x:v>
      </x:c>
      <x:c r="E170" s="4" t="str">
        <x:v>元数据已核验</x:v>
      </x:c>
      <x:c r="F170" s="4" t="n">
        <x:v>1</x:v>
      </x:c>
      <x:c r="G170" s="4" t="str">
        <x:v>软件项目</x:v>
      </x:c>
      <x:c r="H170" s="4" t="str">
        <x:v>文档/知识内容</x:v>
      </x:c>
      <x:c r="I170" s="4" t="str">
        <x:v>未获取/未识别</x:v>
      </x:c>
      <x:c r="J170" s="4" t="str">
        <x:v>Create and modify Word documents with Python. Contribute to python-openxml/python-docx development by creating an account on GitHub.</x:v>
      </x:c>
      <x:c r="K170" s="4" t="n">
        <x:v>0</x:v>
      </x:c>
      <x:c r="L170" s="4" t="str">
        <x:v>补充代表项目</x:v>
      </x:c>
      <x:c r="M170" s="4" t="str"/>
      <x:c r="N170" s="4" t="str">
        <x:v>未核验许可</x:v>
      </x:c>
      <x:c r="O170" s="12" t="n">
        <x:v>46277.17264416667</x:v>
      </x:c>
      <x:c r="P170" s="4" t="str">
        <x:v>GitHub公开HTML精确title星数</x:v>
      </x:c>
      <x:c r="Q170" s="4" t="str">
        <x:v>https://github.com/python-openxml/python-docx</x:v>
      </x:c>
      <x:c r="R170" s="4" t="str">
        <x:v>定向补充；非随机抽样</x:v>
      </x:c>
      <x:c r="S170" s="4" t="str">
        <x:v>https://github.com/python-openxml/python-docx</x:v>
      </x:c>
    </x:row>
  </x:sheetData>
  <x:conditionalFormatting sqref="E6:E170">
    <x:cfRule type="containsText" dxfId="2" priority="1" operator="containsText" text="待"/>
  </x:conditionalFormatting>
  <x:pageMargins left="0.7" right="0.7" top="0.75" bottom="0.75" header="0.3" footer="0.3"/>
  <x:tableParts count="1">
    <x:tablePart xmlns:r="http://schemas.openxmlformats.org/officeDocument/2006/relationships" r:id="Rd56e14050e3b4aa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65" hidden="0" customWidth="1"/>
    <x:col min="4" max="4" width="68" hidden="0" customWidth="1"/>
    <x:col min="5" max="5" width="70" hidden="0" customWidth="1"/>
    <x:col min="6" max="6" width="16" hidden="0" customWidth="1"/>
  </x:cols>
  <x:sheetData>
    <x:row r="2">
      <x:c r="A2" s="1" t="str">
        <x:v>参考体系及对齐方式</x:v>
      </x:c>
    </x:row>
    <x:row r="5" ht="32" customHeight="1">
      <x:c r="A5" s="8" t="str">
        <x:v>参考体系</x:v>
      </x:c>
      <x:c r="B5" s="8" t="str">
        <x:v>原本用途</x:v>
      </x:c>
      <x:c r="C5" s="8" t="str">
        <x:v>已核实的结构/主题</x:v>
      </x:c>
      <x:c r="D5" s="8" t="str">
        <x:v>对本分类的适用范围</x:v>
      </x:c>
      <x:c r="E5" s="8" t="str">
        <x:v>官方来源</x:v>
      </x:c>
      <x:c r="F5" s="8" t="str">
        <x:v>核查日期</x:v>
      </x:c>
    </x:row>
    <x:row r="6" ht="44" customHeight="1">
      <x:c r="A6" s="4" t="str">
        <x:v>ACM CCS 2012</x:v>
      </x:c>
      <x:c r="B6" s="4" t="str">
        <x:v>计算研究与文献主题分类，不是三方库适配认证</x:v>
      </x:c>
      <x:c r="C6" s="4" t="str">
        <x:v>官方指导采用多层树，并建议细化主题及选择相关类别</x:v>
      </x:c>
      <x:c r="D6" s="4" t="str">
        <x:v>可以参考分层和多标签结构；本表不宣称15类与其逐项等价</x:v>
      </x:c>
      <x:c r="E6" s="4" t="str">
        <x:v>https://www.acm.org/binaries/content/assets/publications/article-templates/ccs-howto-v6-12jan2015.pdf</x:v>
      </x:c>
      <x:c r="F6" s="17" t="n">
        <x:v>46277</x:v>
      </x:c>
    </x:row>
    <x:row r="7" ht="44" customHeight="1">
      <x:c r="A7" s="4" t="str">
        <x:v>SWEBOK V4</x:v>
      </x:c>
      <x:c r="B7" s="4" t="str">
        <x:v>软件工程知识体系，不是按三方库功能划分的目录</x:v>
      </x:c>
      <x:c r="C7" s="4" t="str">
        <x:v>18个知识域，并涵盖架构、运维、安全等工程实践</x:v>
      </x:c>
      <x:c r="D7" s="4" t="str">
        <x:v>14/15/4类与部分工程主题对应；需求、管理、经济等不能声称已完全覆盖</x:v>
      </x:c>
      <x:c r="E7" s="4" t="str">
        <x:v>https://www.computer.org/education/bodies-of-knowledge/software-engineering</x:v>
      </x:c>
      <x:c r="F7" s="17" t="n">
        <x:v>46277</x:v>
      </x:c>
    </x:row>
    <x:row r="8" ht="44" customHeight="1">
      <x:c r="A8" s="4" t="str">
        <x:v>CNCF Landscape</x:v>
      </x:c>
      <x:c r="B8" s="4" t="str">
        <x:v>云原生行业技术地图，不是通用编程领域国家/国际标准</x:v>
      </x:c>
      <x:c r="C8" s="4" t="str">
        <x:v>数据库、消息、运行时、网络、安全、构建、可观测性等技术分类</x:v>
      </x:c>
      <x:c r="D8" s="4" t="str">
        <x:v>有助于校验2/3/4/5/6/14/15类；不能用其验证办公和所有行业应用</x:v>
      </x:c>
      <x:c r="E8" s="4" t="str">
        <x:v>https://landscapeapp.cncf.io/cncf/guide</x:v>
      </x:c>
      <x:c r="F8" s="17" t="n">
        <x:v>46277</x:v>
      </x:c>
    </x:row>
    <x:row r="11">
      <x:c r="A11" t="str">
        <x:v>15类工程定义：以下为本次映射判断，不是标准原文或正式条款对应关系。</x:v>
      </x:c>
    </x:row>
    <x:row r="13" ht="30" customHeight="1">
      <x:c r="A13" s="7" t="str">
        <x:v>编号</x:v>
      </x:c>
      <x:c r="B13" s="7" t="str">
        <x:v>能力类别</x:v>
      </x:c>
      <x:c r="C13" s="7" t="str">
        <x:v>纳入范围</x:v>
      </x:c>
      <x:c r="D13" s="7" t="str">
        <x:v>优势语言生态</x:v>
      </x:c>
      <x:c r="E13" s="7" t="str">
        <x:v>主要参考方向</x:v>
      </x:c>
      <x:c r="F13" s="7" t="str">
        <x:v>边界</x:v>
      </x:c>
    </x:row>
    <x:row r="14" ht="48" customHeight="1">
      <x:c r="A14" s="4" t="n">
        <x:v>1</x:v>
      </x:c>
      <x:c r="B14" s="4" t="str">
        <x:v>基础编程与通用工具</x:v>
      </x:c>
      <x:c r="C14" s="4" t="str">
        <x:v>通用算法、配置、校验、序列化、基础日志</x:v>
      </x:c>
      <x:c r="D14" s="4" t="str">
        <x:v>各主流语言</x:v>
      </x:c>
      <x:c r="E14" s="4" t="str">
        <x:v>自定义功能域；采用ACM分层和多主题思想</x:v>
      </x:c>
      <x:c r="F14" s="4" t="str">
        <x:v>日志生成属本类；日志汇聚监控属15类</x:v>
      </x:c>
    </x:row>
    <x:row r="15" ht="48" customHeight="1">
      <x:c r="A15" s="4" t="n">
        <x:v>2</x:v>
      </x:c>
      <x:c r="B15" s="4" t="str">
        <x:v>系统资源与原生互操作</x:v>
      </x:c>
      <x:c r="C15" s="4" t="str">
        <x:v>文件、压缩、进程、线程、FFI、运行时、设备接口</x:v>
      </x:c>
      <x:c r="D15" s="4" t="str">
        <x:v>C/C++、Rust、Go</x:v>
      </x:c>
      <x:c r="E15" s="4" t="str">
        <x:v>CNCF相关技术分区；SWEBOK相关工程实践</x:v>
      </x:c>
      <x:c r="F15" s="4" t="str">
        <x:v>运行时是能力提供方类型，不应当作普通应用库</x:v>
      </x:c>
    </x:row>
    <x:row r="16" ht="48" customHeight="1">
      <x:c r="A16" s="4" t="n">
        <x:v>3</x:v>
      </x:c>
      <x:c r="B16" s="4" t="str">
        <x:v>网络与通信协议</x:v>
      </x:c>
      <x:c r="C16" s="4" t="str">
        <x:v>网络客户端、协议栈、RPC、代理、传输</x:v>
      </x:c>
      <x:c r="D16" s="4" t="str">
        <x:v>C/C++、Go、Java、JS/TS</x:v>
      </x:c>
      <x:c r="E16" s="4" t="str">
        <x:v>CNCF相关技术分区；SWEBOK相关工程实践</x:v>
      </x:c>
      <x:c r="F16" s="4" t="str">
        <x:v>HTTP客户端归3；Web业务框架归6</x:v>
      </x:c>
    </x:row>
    <x:row r="17" ht="48" customHeight="1">
      <x:c r="A17" s="4" t="n">
        <x:v>4</x:v>
      </x:c>
      <x:c r="B17" s="4" t="str">
        <x:v>安全与身份认证</x:v>
      </x:c>
      <x:c r="C17" s="4" t="str">
        <x:v>密码、TLS、身份、权限、密钥、漏洞检测</x:v>
      </x:c>
      <x:c r="D17" s="4" t="str">
        <x:v>C/C++、Rust、Java、C#、Go</x:v>
      </x:c>
      <x:c r="E17" s="4" t="str">
        <x:v>CNCF相关技术分区；SWEBOK相关工程实践</x:v>
      </x:c>
      <x:c r="F17" s="4" t="str">
        <x:v>安全是主能力，也可作为所有类别的横向要求</x:v>
      </x:c>
    </x:row>
    <x:row r="18" ht="48" customHeight="1">
      <x:c r="A18" s="4" t="n">
        <x:v>5</x:v>
      </x:c>
      <x:c r="B18" s="4" t="str">
        <x:v>数据库、存储与检索</x:v>
      </x:c>
      <x:c r="C18" s="4" t="str">
        <x:v>数据库引擎、驱动、ORM、缓存、全文和向量检索</x:v>
      </x:c>
      <x:c r="D18" s="4" t="str">
        <x:v>SQL、C/C++、Java、Rust</x:v>
      </x:c>
      <x:c r="E18" s="4" t="str">
        <x:v>CNCF相关技术分区；SWEBOK相关工程实践</x:v>
      </x:c>
      <x:c r="F18" s="4" t="str">
        <x:v>数据库客户端界面仍归5；通用UI框架归7</x:v>
      </x:c>
    </x:row>
    <x:row r="19" ht="48" customHeight="1">
      <x:c r="A19" s="4" t="n">
        <x:v>6</x:v>
      </x:c>
      <x:c r="B19" s="4" t="str">
        <x:v>后端服务与业务流程</x:v>
      </x:c>
      <x:c r="C19" s="4" t="str">
        <x:v>Web后端、CMS、业务规则、任务、确定性工作流</x:v>
      </x:c>
      <x:c r="D19" s="4" t="str">
        <x:v>Java、C#、JS/TS、Go、Python、PHP</x:v>
      </x:c>
      <x:c r="E19" s="4" t="str">
        <x:v>CNCF相关技术分区；SWEBOK相关工程实践</x:v>
      </x:c>
      <x:c r="F19" s="4" t="str">
        <x:v>确定性任务编排归6；模型决策循环归13</x:v>
      </x:c>
    </x:row>
    <x:row r="20" ht="48" customHeight="1">
      <x:c r="A20" s="4" t="n">
        <x:v>7</x:v>
      </x:c>
      <x:c r="B20" s="4" t="str">
        <x:v>用户界面与交互</x:v>
      </x:c>
      <x:c r="C20" s="4" t="str">
        <x:v>Web、GUI、CLI/TUI框架、跨端交互</x:v>
      </x:c>
      <x:c r="D20" s="4" t="str">
        <x:v>JS/TS、C++、C#、Dart、Kotlin、Swift</x:v>
      </x:c>
      <x:c r="E20" s="4" t="str">
        <x:v>自定义功能域；采用ACM分层和多主题思想</x:v>
      </x:c>
      <x:c r="F20" s="4" t="str">
        <x:v>仅使用Electron/Qt/TUI不代表主能力属于7</x:v>
      </x:c>
    </x:row>
    <x:row r="21" ht="48" customHeight="1">
      <x:c r="A21" s="4" t="n">
        <x:v>8</x:v>
      </x:c>
      <x:c r="B21" s="4" t="str">
        <x:v>数据处理与科学计算</x:v>
      </x:c>
      <x:c r="C21" s="4" t="str">
        <x:v>ETL、统计、数值计算、数据分析、科学可视化</x:v>
      </x:c>
      <x:c r="D21" s="4" t="str">
        <x:v>Python、SQL、R、C/C++、Fortran</x:v>
      </x:c>
      <x:c r="E21" s="4" t="str">
        <x:v>自定义功能域；采用ACM分层和多主题思想</x:v>
      </x:c>
      <x:c r="F21" s="4" t="str">
        <x:v>模型训练归11；一般数据分析归8</x:v>
      </x:c>
    </x:row>
    <x:row r="22" ht="48" customHeight="1">
      <x:c r="A22" s="4" t="n">
        <x:v>9</x:v>
      </x:c>
      <x:c r="B22" s="4" t="str">
        <x:v>图形、多媒体与实时应用</x:v>
      </x:c>
      <x:c r="C22" s="4" t="str">
        <x:v>图像、音视频、2D/3D、游戏、媒体编辑</x:v>
      </x:c>
      <x:c r="D22" s="4" t="str">
        <x:v>C/C++、C#、JS/TS</x:v>
      </x:c>
      <x:c r="E22" s="4" t="str">
        <x:v>自定义功能域；采用ACM分层和多主题思想</x:v>
      </x:c>
      <x:c r="F22" s="4" t="str">
        <x:v>模型驱动识别归11；媒体编解码与引擎归9</x:v>
      </x:c>
    </x:row>
    <x:row r="23" ht="48" customHeight="1">
      <x:c r="A23" s="4" t="n">
        <x:v>10</x:v>
      </x:c>
      <x:c r="B23" s="4" t="str">
        <x:v>文档与办公数据处理</x:v>
      </x:c>
      <x:c r="C23" s="4" t="str">
        <x:v>Word、Excel、PPT、PDF读写、转换、排版</x:v>
      </x:c>
      <x:c r="D23" s="4" t="str">
        <x:v>Python、JS/TS、Java、C#</x:v>
      </x:c>
      <x:c r="E23" s="4" t="str">
        <x:v>自定义功能域；采用ACM分层和多主题思想</x:v>
      </x:c>
      <x:c r="F23" s="4" t="str">
        <x:v>直接改文件归10；操控正在运行的应用归12</x:v>
      </x:c>
    </x:row>
    <x:row r="24" ht="48" customHeight="1">
      <x:c r="A24" s="4" t="n">
        <x:v>11</x:v>
      </x:c>
      <x:c r="B24" s="4" t="str">
        <x:v>AI模型与机器学习</x:v>
      </x:c>
      <x:c r="C24" s="4" t="str">
        <x:v>模型训练、推理、接入、OCR、语音与多模态</x:v>
      </x:c>
      <x:c r="D24" s="4" t="str">
        <x:v>Python、C/C++</x:v>
      </x:c>
      <x:c r="E24" s="4" t="str">
        <x:v>自定义功能域；采用ACM分层和多主题思想</x:v>
      </x:c>
      <x:c r="F24" s="4" t="str">
        <x:v>模型能力归11；工具执行与任务规划归13</x:v>
      </x:c>
    </x:row>
    <x:row r="25" ht="48" customHeight="1">
      <x:c r="A25" s="4" t="n">
        <x:v>12</x:v>
      </x:c>
      <x:c r="B25" s="4" t="str">
        <x:v>办公软件与桌面操作自动化</x:v>
      </x:c>
      <x:c r="C25" s="4" t="str">
        <x:v>应用接口、浏览器、GUI操作、跨应用流程、结果验证</x:v>
      </x:c>
      <x:c r="D25" s="4" t="str">
        <x:v>Python、JS/TS、Java、C#</x:v>
      </x:c>
      <x:c r="E25" s="4" t="str">
        <x:v>自定义功能域；采用ACM分层和多主题思想</x:v>
      </x:c>
      <x:c r="F25" s="4" t="str">
        <x:v>浏览器执行器归12；测试主用途可归14并挂12标签</x:v>
      </x:c>
    </x:row>
    <x:row r="26" ht="48" customHeight="1">
      <x:c r="A26" s="4" t="n">
        <x:v>13</x:v>
      </x:c>
      <x:c r="B26" s="4" t="str">
        <x:v>Agent编排与工具执行</x:v>
      </x:c>
      <x:c r="C26" s="4" t="str">
        <x:v>规划、模型决策循环、工具调用、记忆、MCP、恢复</x:v>
      </x:c>
      <x:c r="D26" s="4" t="str">
        <x:v>Python、JS/TS、Java、C#</x:v>
      </x:c>
      <x:c r="E26" s="4" t="str">
        <x:v>自定义功能域；采用ACM分层和多主题思想</x:v>
      </x:c>
      <x:c r="F26" s="4" t="str">
        <x:v>技能文档不是Agent运行时；办公执行器归12</x:v>
      </x:c>
    </x:row>
    <x:row r="27" ht="48" customHeight="1">
      <x:c r="A27" s="4" t="n">
        <x:v>14</x:v>
      </x:c>
      <x:c r="B27" s="4" t="str">
        <x:v>软件构建、开发与测试</x:v>
      </x:c>
      <x:c r="C27" s="4" t="str">
        <x:v>编译器、包管理、IDE、构建、测试、代码分析</x:v>
      </x:c>
      <x:c r="D27" s="4" t="str">
        <x:v>随业务语言；Rust、Go、C++、Python、TS</x:v>
      </x:c>
      <x:c r="E27" s="4" t="str">
        <x:v>CNCF相关技术分区；SWEBOK相关工程实践</x:v>
      </x:c>
      <x:c r="F27" s="4" t="str">
        <x:v>编程Agent主任务是软件开发时归14并挂13标签</x:v>
      </x:c>
    </x:row>
    <x:row r="28" ht="48" customHeight="1">
      <x:c r="A28" s="4" t="n">
        <x:v>15</x:v>
      </x:c>
      <x:c r="B28" s="4" t="str">
        <x:v>部署运维与可观测性</x:v>
      </x:c>
      <x:c r="C28" s="4" t="str">
        <x:v>部署、容器、运维、日志汇聚、指标、追踪、告警</x:v>
      </x:c>
      <x:c r="D28" s="4" t="str">
        <x:v>Go、Python、Shell及各业务语言</x:v>
      </x:c>
      <x:c r="E28" s="4" t="str">
        <x:v>CNCF相关技术分区；SWEBOK相关工程实践</x:v>
      </x:c>
      <x:c r="F28" s="4" t="str">
        <x:v>应用业务监控不一定是系统可观测性；按对象区分</x:v>
      </x:c>
    </x:row>
    <x:row r="31">
      <x:c r="A31" t="str">
        <x:v>通过条件：定义和主用途清楚、可追溯、多标签可表达跨域；目前还需行业轴与项目/库/资产类型轴。</x:v>
      </x:c>
    </x:row>
  </x:sheetData>
  <x:pageMargins left="0.7" right="0.7" top="0.75" bottom="0.75" header="0.3" footer="0.3"/>
  <x:tableParts count="1">
    <x:tablePart xmlns:r="http://schemas.openxmlformats.org/officeDocument/2006/relationships" r:id="R4c29d938cf0e49b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 hidden="0" customWidth="1"/>
    <x:col min="2" max="2" width="36" hidden="0" customWidth="1"/>
    <x:col min="3" max="3" width="64" hidden="0" customWidth="1"/>
    <x:col min="4" max="4" width="66" hidden="0" customWidth="1"/>
    <x:col min="5" max="5" width="66" hidden="0" customWidth="1"/>
  </x:cols>
  <x:sheetData>
    <x:row r="2">
      <x:c r="A2" s="1" t="str">
        <x:v>分类边界、数据问题及整改建议</x:v>
      </x:c>
    </x:row>
    <x:row r="3">
      <x:c r="A3" t="str">
        <x:v>本次仅新增验证表，不覆盖现有HTML与分类数据。列出的旧分类问题供下一步修订。</x:v>
      </x:c>
    </x:row>
    <x:row r="5" ht="32" customHeight="1">
      <x:c r="A5" s="8" t="str">
        <x:v>问题类型</x:v>
      </x:c>
      <x:c r="B5" s="8" t="str">
        <x:v>对象/类别</x:v>
      </x:c>
      <x:c r="C5" s="8" t="str">
        <x:v>发现</x:v>
      </x:c>
      <x:c r="D5" s="8" t="str">
        <x:v>判定依据</x:v>
      </x:c>
      <x:c r="E5" s="8" t="str">
        <x:v>建议动作</x:v>
      </x:c>
    </x:row>
    <x:row r="6" ht="44" customHeight="1">
      <x:c r="A6" s="4" t="str">
        <x:v>标准符合性</x:v>
      </x:c>
      <x:c r="B6" s="4" t="str">
        <x:v>全部15类</x:v>
      </x:c>
      <x:c r="C6" s="4" t="str">
        <x:v>自定义场景分类不等于正式标准认证</x:v>
      </x:c>
      <x:c r="D6" s="4" t="str">
        <x:v>ACM是主题分类；SWEBOK是知识体系；CNCF是行业地图</x:v>
      </x:c>
      <x:c r="E6" s="4" t="str">
        <x:v>保留15类作为工程分类v1；增加版本、定义、边界与映射依据</x:v>
      </x:c>
    </x:row>
    <x:row r="7" ht="44" customHeight="1">
      <x:c r="A7" s="4" t="str">
        <x:v>统计分母</x:v>
      </x:c>
      <x:c r="B7" s="4" t="str">
        <x:v>原始601条与当前页面327条</x:v>
      </x:c>
      <x:c r="C7" s="4" t="str">
        <x:v>原始表333条有依赖，268条未采集到依赖；清洗后327条进入页面</x:v>
      </x:c>
      <x:c r="D7" s="4" t="str">
        <x:v>“无依赖记录”不等于不需要依赖，也不等于不能开发</x:v>
      </x:c>
      <x:c r="E7" s="4" t="str">
        <x:v>保留601条审计记录，分别呈现去重、排除、待核验与可归类分母</x:v>
      </x:c>
    </x:row>
    <x:row r="8" ht="44" customHeight="1">
      <x:c r="A8" s="4" t="str">
        <x:v>重复项目</x:v>
      </x:c>
      <x:c r="B8" s="4" t="str">
        <x:v>同仓库多来源记录</x:v>
      </x:c>
      <x:c r="C8" s="4" t="str">
        <x:v>按URL规范化可发现同一仓库重复记录</x:v>
      </x:c>
      <x:c r="D8" s="4" t="str">
        <x:v>源表记录数与唯一项目数不同</x:v>
      </x:c>
      <x:c r="E8" s="4" t="str">
        <x:v>保留源行；以规范化URL去重，迁移别名未核实前不自动合并</x:v>
      </x:c>
    </x:row>
    <x:row r="9" ht="44" customHeight="1">
      <x:c r="A9" s="4" t="str">
        <x:v>旧分类错位</x:v>
      </x:c>
      <x:c r="B9" s="4" t="str">
        <x:v>cocos/cocos-engine</x:v>
      </x:c>
      <x:c r="C9" s="4" t="str">
        <x:v>原页面归浏览器自动化与数据采集</x:v>
      </x:c>
      <x:c r="D9" s="4" t="str">
        <x:v>游戏引擎的主能力应归9；依赖采集工具不能决定项目功能</x:v>
      </x:c>
      <x:c r="E9" s="4" t="str">
        <x:v>按主用途归9类；保留开发工具及UI标签</x:v>
      </x:c>
    </x:row>
    <x:row r="10" ht="44" customHeight="1">
      <x:c r="A10" s="4" t="str">
        <x:v>旧分类错位</x:v>
      </x:c>
      <x:c r="B10" s="4" t="str">
        <x:v>astral-sh/ruff</x:v>
      </x:c>
      <x:c r="C10" s="4" t="str">
        <x:v>原页面归行业与其他应用</x:v>
      </x:c>
      <x:c r="D10" s="4" t="str">
        <x:v>代码检查/格式化属于14类</x:v>
      </x:c>
      <x:c r="E10" s="4" t="str">
        <x:v>纠正项目主分类；源码语言与Python工具目标语言分列</x:v>
      </x:c>
    </x:row>
    <x:row r="11" ht="44" customHeight="1">
      <x:c r="A11" s="4" t="str">
        <x:v>旧分类错位</x:v>
      </x:c>
      <x:c r="B11" s="4" t="str">
        <x:v>honojs/hono</x:v>
      </x:c>
      <x:c r="C11" s="4" t="str">
        <x:v>原页面归开发工具与工程效率</x:v>
      </x:c>
      <x:c r="D11" s="4" t="str">
        <x:v>Web框架属于6类</x:v>
      </x:c>
      <x:c r="E11" s="4" t="str">
        <x:v>不要依据仓库依赖中的测试工具判断主功能</x:v>
      </x:c>
    </x:row>
    <x:row r="12" ht="44" customHeight="1">
      <x:c r="A12" s="4" t="str">
        <x:v>旧分类错位</x:v>
      </x:c>
      <x:c r="B12" s="4" t="str">
        <x:v>goauthentik/authentik</x:v>
      </x:c>
      <x:c r="C12" s="4" t="str">
        <x:v>原页面归Web与业务服务</x:v>
      </x:c>
      <x:c r="D12" s="4" t="str">
        <x:v>身份与访问管理属于4类</x:v>
      </x:c>
      <x:c r="E12" s="4" t="str">
        <x:v>Web部署形态不代替安全功能分类</x:v>
      </x:c>
    </x:row>
    <x:row r="13" ht="44" customHeight="1">
      <x:c r="A13" s="4" t="str">
        <x:v>旧分类错位</x:v>
      </x:c>
      <x:c r="B13" s="4" t="str">
        <x:v>ccfos/nightingale</x:v>
      </x:c>
      <x:c r="C13" s="4" t="str">
        <x:v>原页面归数据库、存储与中间件</x:v>
      </x:c>
      <x:c r="D13" s="4" t="str">
        <x:v>监控告警属于15类</x:v>
      </x:c>
      <x:c r="E13" s="4" t="str">
        <x:v>数据库依赖不是监控系统主分类</x:v>
      </x:c>
    </x:row>
    <x:row r="14" ht="44" customHeight="1">
      <x:c r="A14" s="4" t="str">
        <x:v>文档与操作边界</x:v>
      </x:c>
      <x:c r="B14" s="4" t="str">
        <x:v>10/12类</x:v>
      </x:c>
      <x:c r="C14" s="4" t="str">
        <x:v>读写文件和操作运行中的应用是不同能力</x:v>
      </x:c>
      <x:c r="D14" s="4" t="str">
        <x:v>python-docx与PyAutoGUI分别提供文件编辑和GUI操作</x:v>
      </x:c>
      <x:c r="E14" s="4" t="str">
        <x:v>分别验证文件格式保真与应用接口/权限/执行结果</x:v>
      </x:c>
    </x:row>
    <x:row r="15" ht="44" customHeight="1">
      <x:c r="A15" s="4" t="str">
        <x:v>Agent与执行器边界</x:v>
      </x:c>
      <x:c r="B15" s="4" t="str">
        <x:v>12/13/14类</x:v>
      </x:c>
      <x:c r="C15" s="4" t="str">
        <x:v>browser-use、Playwright、编程Agent均可能多用途</x:v>
      </x:c>
      <x:c r="D15" s="4" t="str">
        <x:v>以主交付目标归一类，附加浏览器执行、Agent、测试标签</x:v>
      </x:c>
      <x:c r="E15" s="4" t="str">
        <x:v>Playwright本表按浏览器执行归12，另挂测试14标签</x:v>
      </x:c>
    </x:row>
    <x:row r="16" ht="44" customHeight="1">
      <x:c r="A16" s="4" t="str">
        <x:v>业务流程边界</x:v>
      </x:c>
      <x:c r="B16" s="4" t="str">
        <x:v>6/12/13类</x:v>
      </x:c>
      <x:c r="C16" s="4" t="str">
        <x:v>n8n带AI与自动化标签，但不等于原生桌面控制器</x:v>
      </x:c>
      <x:c r="D16" s="4" t="str">
        <x:v>确定性集成工作流主归6；Agent决策和办公执行分别挂13/12标签</x:v>
      </x:c>
      <x:c r="E16" s="4" t="str">
        <x:v>不要用automation关键字把Ansible或Home Assistant直接归办公自动化</x:v>
      </x:c>
    </x:row>
    <x:row r="17" ht="44" customHeight="1">
      <x:c r="A17" s="4" t="str">
        <x:v>展现形态混用</x:v>
      </x:c>
      <x:c r="B17" s="4" t="str">
        <x:v>7类与其他类别</x:v>
      </x:c>
      <x:c r="C17" s="4" t="str">
        <x:v>Qt/Electron/TUI只是展现形态</x:v>
      </x:c>
      <x:c r="D17" s="4" t="str">
        <x:v>Cocos属于9，数据库客户端属于5，IDE属于14</x:v>
      </x:c>
      <x:c r="E17" s="4" t="str">
        <x:v>新增交互形态字段，不将所有桌面软件归7</x:v>
      </x:c>
    </x:row>
    <x:row r="18" ht="44" customHeight="1">
      <x:c r="A18" s="4" t="str">
        <x:v>行业范围缺口</x:v>
      </x:c>
      <x:c r="B18" s="4" t="str">
        <x:v>IoT/机器人/工业控制</x:v>
      </x:c>
      <x:c r="C18" s="4" t="str">
        <x:v>Home Assistant、OctoPrint、lerobot需要设备领域能力</x:v>
      </x:c>
      <x:c r="D18" s="4" t="str">
        <x:v>2/3/8/9/11类可组合，但目前缺少显式行业标签与接口验收</x:v>
      </x:c>
      <x:c r="E18" s="4" t="str">
        <x:v>补充行业轴；如设备场景成为主目标再讨论独立一级类</x:v>
      </x:c>
    </x:row>
    <x:row r="19" ht="44" customHeight="1">
      <x:c r="A19" s="4" t="str">
        <x:v>行业范围缺口</x:v>
      </x:c>
      <x:c r="B19" s="4" t="str">
        <x:v>区块链/分布式信任</x:v>
      </x:c>
      <x:c r="C19" s="4" t="str">
        <x:v>Union/Fuel等不能仅因security关键词就当作密码库</x:v>
      </x:c>
      <x:c r="D19" s="4" t="str">
        <x:v>金融/区块链是行业或技术架构标签，跨4/5/6类</x:v>
      </x:c>
      <x:c r="E19" s="4" t="str">
        <x:v>作为范围待决保留，避免强行归类制造100%覆盖</x:v>
      </x:c>
    </x:row>
    <x:row r="20" ht="44" customHeight="1">
      <x:c r="A20" s="4" t="str">
        <x:v>工程生命周期缺口</x:v>
      </x:c>
      <x:c r="B20" s="4" t="str">
        <x:v>14/15类</x:v>
      </x:c>
      <x:c r="C20" s="4" t="str">
        <x:v>目前详细条目偏构建测试运维，需求与架构管理弱</x:v>
      </x:c>
      <x:c r="D20" s="4" t="str">
        <x:v>SWEBOK覆盖范围比工具功能目录更宽</x:v>
      </x:c>
      <x:c r="E20" s="4" t="str">
        <x:v>补需求、架构、质量、版本配置、许可与安全等横向标签</x:v>
      </x:c>
    </x:row>
    <x:row r="21" ht="44" customHeight="1">
      <x:c r="A21" s="4" t="str">
        <x:v>样本偏差</x:v>
      </x:c>
      <x:c r="B21" s="4" t="str">
        <x:v>GitHub高星</x:v>
      </x:c>
      <x:c r="C21" s="4" t="str">
        <x:v>星数衡量关注，受项目年龄、资源仓库和营销影响</x:v>
      </x:c>
      <x:c r="D21" s="4" t="str">
        <x:v>全局Top100与15个关键词Top5及定向补充均为目的性样本</x:v>
      </x:c>
      <x:c r="E21" s="4" t="str">
        <x:v>只能报告本样本归类率，不推断行业使用频率和全球覆盖率</x:v>
      </x:c>
    </x:row>
    <x:row r="22" ht="44" customHeight="1">
      <x:c r="A22" s="4" t="str">
        <x:v>许可口径</x:v>
      </x:c>
      <x:c r="B22" s="4" t="str">
        <x:v>GitHub公开仓库</x:v>
      </x:c>
      <x:c r="C22" s="4" t="str">
        <x:v>公开源码或高星不等于OSI开源许可</x:v>
      </x:c>
      <x:c r="D22" s="4" t="str">
        <x:v>n8n描述为fair-code；部分仓库许可未识别</x:v>
      </x:c>
      <x:c r="E22" s="4" t="str">
        <x:v>保存SPDX原值和待核验状态，不将全部样本称作已审计开源库</x:v>
      </x:c>
    </x:row>
    <x:row r="23" ht="44" customHeight="1">
      <x:c r="A23" s="4" t="str">
        <x:v>语言口径</x:v>
      </x:c>
      <x:c r="B23" s="4" t="str">
        <x:v>GitHub主语言与源表语言</x:v>
      </x:c>
      <x:c r="C23" s="4" t="str">
        <x:v>GitHub单一language字段可能反映代码量、测试或生成代码</x:v>
      </x:c>
      <x:c r="D23" s="4" t="str">
        <x:v>LLVM、TypeScript、Python工具的使用语言与实现语言不同</x:v>
      </x:c>
      <x:c r="E23" s="4" t="str">
        <x:v>保留原值，另核实API语言和引擎语言；不据此机械判断生态</x:v>
      </x:c>
    </x:row>
    <x:row r="24" ht="44" customHeight="1">
      <x:c r="A24" s="4" t="str">
        <x:v>适配证据</x:v>
      </x:c>
      <x:c r="B24" s="4" t="str">
        <x:v>当前目录满足度</x:v>
      </x:c>
      <x:c r="C24" s="4" t="str">
        <x:v>匹配依赖名称不是安装、核心功能或端到端验证</x:v>
      </x:c>
      <x:c r="D24" s="4" t="str">
        <x:v>Electron和Playwright用户确认支持，不自动外推其他绑定或插件</x:v>
      </x:c>
      <x:c r="E24" s="4" t="str">
        <x:v>本次只验证分类；沿用v2满足度且明确其定义</x:v>
      </x:c>
    </x:row>
    <x:row r="25" ht="44" customHeight="1">
      <x:c r="A25" s="4" t="str">
        <x:v>资源范围</x:v>
      </x:c>
      <x:c r="B25" s="4" t="str">
        <x:v>教程/技能/资料仓库</x:v>
      </x:c>
      <x:c r="C25" s="4" t="str">
        <x:v>课程、awesome和技能文件不能当作可执行库</x:v>
      </x:c>
      <x:c r="D25" s="4" t="str">
        <x:v>全球高星榜中存在大量知识资产</x:v>
      </x:c>
      <x:c r="E25" s="4" t="str">
        <x:v>保留记录并排除软件归类率分母；Agent资产可另建资源目录</x:v>
      </x:c>
    </x:row>
  </x:sheetData>
  <x:pageMargins left="0.7" right="0.7" top="0.75" bottom="0.75" header="0.3" footer="0.3"/>
  <x:tableParts count="1">
    <x:tablePart xmlns:r="http://schemas.openxmlformats.org/officeDocument/2006/relationships" r:id="R5c21bd63967a426c"/>
  </x:tableParts>
</x:worksheet>
</file>